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726704b246b8d0/Pulpit/NAUKA/EXCEL/projekt/"/>
    </mc:Choice>
  </mc:AlternateContent>
  <xr:revisionPtr revIDLastSave="1241" documentId="8_{B9D60DC8-3F6D-40F1-8EBB-EA195E5BD4C2}" xr6:coauthVersionLast="47" xr6:coauthVersionMax="47" xr10:uidLastSave="{BB02FA29-60BE-4B85-B093-50B082493913}"/>
  <bookViews>
    <workbookView xWindow="-120" yWindow="-120" windowWidth="24240" windowHeight="13140" firstSheet="2" activeTab="2" xr2:uid="{25208F6D-631E-4AB8-988B-0C3AB99AD5BA}"/>
  </bookViews>
  <sheets>
    <sheet name="00_INFO" sheetId="1" r:id="rId1"/>
    <sheet name="01_DANE" sheetId="2" r:id="rId2"/>
    <sheet name="02_OBLICZENIA" sheetId="3" r:id="rId3"/>
    <sheet name="03_TABELE" sheetId="4" r:id="rId4"/>
    <sheet name="04_DASHBOARD" sheetId="6" r:id="rId5"/>
  </sheets>
  <definedNames>
    <definedName name="ExternalData_1" localSheetId="1" hidden="1">'01_DANE'!$A$2:$F$186</definedName>
    <definedName name="ExternalData_2" localSheetId="1" hidden="1">'01_DANE'!$A$189:$E$238</definedName>
    <definedName name="ExternalData_3" localSheetId="1" hidden="1">'01_DANE'!$A$241:$F$295</definedName>
  </definedNames>
  <calcPr calcId="191029"/>
  <pivotCaches>
    <pivotCache cacheId="0" r:id="rId6"/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4" l="1" a="1"/>
  <c r="R3" i="4" s="1"/>
  <c r="T2" i="4" s="1" a="1"/>
  <c r="T2" i="4" s="1"/>
  <c r="AI8" i="6"/>
  <c r="X8" i="6"/>
  <c r="M8" i="6"/>
  <c r="B8" i="6"/>
  <c r="A243" i="3" l="1"/>
  <c r="B243" i="3"/>
  <c r="C243" i="3"/>
  <c r="D243" i="3"/>
  <c r="E243" i="3"/>
  <c r="F243" i="3"/>
  <c r="A244" i="3"/>
  <c r="B244" i="3"/>
  <c r="C244" i="3"/>
  <c r="D244" i="3"/>
  <c r="E244" i="3"/>
  <c r="F244" i="3"/>
  <c r="A245" i="3"/>
  <c r="B245" i="3"/>
  <c r="C245" i="3"/>
  <c r="D245" i="3"/>
  <c r="E245" i="3"/>
  <c r="F245" i="3"/>
  <c r="A246" i="3"/>
  <c r="B246" i="3"/>
  <c r="C246" i="3"/>
  <c r="D246" i="3"/>
  <c r="E246" i="3"/>
  <c r="F246" i="3"/>
  <c r="A247" i="3"/>
  <c r="B247" i="3"/>
  <c r="C247" i="3"/>
  <c r="D247" i="3"/>
  <c r="E247" i="3"/>
  <c r="F247" i="3"/>
  <c r="A248" i="3"/>
  <c r="B248" i="3"/>
  <c r="C248" i="3"/>
  <c r="D248" i="3"/>
  <c r="E248" i="3"/>
  <c r="F248" i="3"/>
  <c r="A249" i="3"/>
  <c r="B249" i="3"/>
  <c r="C249" i="3"/>
  <c r="D249" i="3"/>
  <c r="E249" i="3"/>
  <c r="F249" i="3"/>
  <c r="A250" i="3"/>
  <c r="B250" i="3"/>
  <c r="C250" i="3"/>
  <c r="D250" i="3"/>
  <c r="E250" i="3"/>
  <c r="F250" i="3"/>
  <c r="A251" i="3"/>
  <c r="B251" i="3"/>
  <c r="C251" i="3"/>
  <c r="D251" i="3"/>
  <c r="E251" i="3"/>
  <c r="F251" i="3"/>
  <c r="A252" i="3"/>
  <c r="B252" i="3"/>
  <c r="C252" i="3"/>
  <c r="D252" i="3"/>
  <c r="E252" i="3"/>
  <c r="F252" i="3"/>
  <c r="A253" i="3"/>
  <c r="B253" i="3"/>
  <c r="C253" i="3"/>
  <c r="D253" i="3"/>
  <c r="E253" i="3"/>
  <c r="F253" i="3"/>
  <c r="A254" i="3"/>
  <c r="B254" i="3"/>
  <c r="C254" i="3"/>
  <c r="D254" i="3"/>
  <c r="E254" i="3"/>
  <c r="F254" i="3"/>
  <c r="A255" i="3"/>
  <c r="B255" i="3"/>
  <c r="C255" i="3"/>
  <c r="D255" i="3"/>
  <c r="E255" i="3"/>
  <c r="F255" i="3"/>
  <c r="A256" i="3"/>
  <c r="B256" i="3"/>
  <c r="C256" i="3"/>
  <c r="D256" i="3"/>
  <c r="E256" i="3"/>
  <c r="F256" i="3"/>
  <c r="A257" i="3"/>
  <c r="B257" i="3"/>
  <c r="C257" i="3"/>
  <c r="D257" i="3"/>
  <c r="E257" i="3"/>
  <c r="F257" i="3"/>
  <c r="A258" i="3"/>
  <c r="B258" i="3"/>
  <c r="C258" i="3"/>
  <c r="D258" i="3"/>
  <c r="E258" i="3"/>
  <c r="F258" i="3"/>
  <c r="A259" i="3"/>
  <c r="B259" i="3"/>
  <c r="C259" i="3"/>
  <c r="D259" i="3"/>
  <c r="E259" i="3"/>
  <c r="F259" i="3"/>
  <c r="A260" i="3"/>
  <c r="B260" i="3"/>
  <c r="C260" i="3"/>
  <c r="D260" i="3"/>
  <c r="E260" i="3"/>
  <c r="F260" i="3"/>
  <c r="A261" i="3"/>
  <c r="B261" i="3"/>
  <c r="C261" i="3"/>
  <c r="D261" i="3"/>
  <c r="E261" i="3"/>
  <c r="F261" i="3"/>
  <c r="A262" i="3"/>
  <c r="B262" i="3"/>
  <c r="C262" i="3"/>
  <c r="D262" i="3"/>
  <c r="E262" i="3"/>
  <c r="F262" i="3"/>
  <c r="A263" i="3"/>
  <c r="B263" i="3"/>
  <c r="C263" i="3"/>
  <c r="D263" i="3"/>
  <c r="E263" i="3"/>
  <c r="F263" i="3"/>
  <c r="A264" i="3"/>
  <c r="B264" i="3"/>
  <c r="C264" i="3"/>
  <c r="D264" i="3"/>
  <c r="E264" i="3"/>
  <c r="F264" i="3"/>
  <c r="A265" i="3"/>
  <c r="B265" i="3"/>
  <c r="C265" i="3"/>
  <c r="D265" i="3"/>
  <c r="E265" i="3"/>
  <c r="F265" i="3"/>
  <c r="A266" i="3"/>
  <c r="B266" i="3"/>
  <c r="C266" i="3"/>
  <c r="D266" i="3"/>
  <c r="E266" i="3"/>
  <c r="F266" i="3"/>
  <c r="A267" i="3"/>
  <c r="B267" i="3"/>
  <c r="C267" i="3"/>
  <c r="D267" i="3"/>
  <c r="E267" i="3"/>
  <c r="F267" i="3"/>
  <c r="A268" i="3"/>
  <c r="B268" i="3"/>
  <c r="C268" i="3"/>
  <c r="D268" i="3"/>
  <c r="E268" i="3"/>
  <c r="F268" i="3"/>
  <c r="A269" i="3"/>
  <c r="B269" i="3"/>
  <c r="C269" i="3"/>
  <c r="D269" i="3"/>
  <c r="E269" i="3"/>
  <c r="F269" i="3"/>
  <c r="A270" i="3"/>
  <c r="B270" i="3"/>
  <c r="C270" i="3"/>
  <c r="D270" i="3"/>
  <c r="E270" i="3"/>
  <c r="F270" i="3"/>
  <c r="A271" i="3"/>
  <c r="B271" i="3"/>
  <c r="C271" i="3"/>
  <c r="D271" i="3"/>
  <c r="E271" i="3"/>
  <c r="F271" i="3"/>
  <c r="A272" i="3"/>
  <c r="B272" i="3"/>
  <c r="C272" i="3"/>
  <c r="D272" i="3"/>
  <c r="E272" i="3"/>
  <c r="F272" i="3"/>
  <c r="A273" i="3"/>
  <c r="B273" i="3"/>
  <c r="C273" i="3"/>
  <c r="D273" i="3"/>
  <c r="E273" i="3"/>
  <c r="F273" i="3"/>
  <c r="A274" i="3"/>
  <c r="B274" i="3"/>
  <c r="C274" i="3"/>
  <c r="D274" i="3"/>
  <c r="E274" i="3"/>
  <c r="F274" i="3"/>
  <c r="A275" i="3"/>
  <c r="B275" i="3"/>
  <c r="C275" i="3"/>
  <c r="D275" i="3"/>
  <c r="E275" i="3"/>
  <c r="F275" i="3"/>
  <c r="A276" i="3"/>
  <c r="B276" i="3"/>
  <c r="C276" i="3"/>
  <c r="D276" i="3"/>
  <c r="E276" i="3"/>
  <c r="F276" i="3"/>
  <c r="A277" i="3"/>
  <c r="B277" i="3"/>
  <c r="C277" i="3"/>
  <c r="D277" i="3"/>
  <c r="E277" i="3"/>
  <c r="F277" i="3"/>
  <c r="A278" i="3"/>
  <c r="B278" i="3"/>
  <c r="C278" i="3"/>
  <c r="D278" i="3"/>
  <c r="E278" i="3"/>
  <c r="F278" i="3"/>
  <c r="A279" i="3"/>
  <c r="B279" i="3"/>
  <c r="C279" i="3"/>
  <c r="D279" i="3"/>
  <c r="E279" i="3"/>
  <c r="F279" i="3"/>
  <c r="A280" i="3"/>
  <c r="B280" i="3"/>
  <c r="C280" i="3"/>
  <c r="D280" i="3"/>
  <c r="E280" i="3"/>
  <c r="F280" i="3"/>
  <c r="A281" i="3"/>
  <c r="B281" i="3"/>
  <c r="C281" i="3"/>
  <c r="D281" i="3"/>
  <c r="E281" i="3"/>
  <c r="F281" i="3"/>
  <c r="A282" i="3"/>
  <c r="B282" i="3"/>
  <c r="C282" i="3"/>
  <c r="D282" i="3"/>
  <c r="E282" i="3"/>
  <c r="F282" i="3"/>
  <c r="A283" i="3"/>
  <c r="B283" i="3"/>
  <c r="C283" i="3"/>
  <c r="D283" i="3"/>
  <c r="E283" i="3"/>
  <c r="F283" i="3"/>
  <c r="A284" i="3"/>
  <c r="B284" i="3"/>
  <c r="C284" i="3"/>
  <c r="D284" i="3"/>
  <c r="E284" i="3"/>
  <c r="F284" i="3"/>
  <c r="A285" i="3"/>
  <c r="B285" i="3"/>
  <c r="C285" i="3"/>
  <c r="D285" i="3"/>
  <c r="E285" i="3"/>
  <c r="F285" i="3"/>
  <c r="A286" i="3"/>
  <c r="B286" i="3"/>
  <c r="C286" i="3"/>
  <c r="D286" i="3"/>
  <c r="E286" i="3"/>
  <c r="F286" i="3"/>
  <c r="A287" i="3"/>
  <c r="B287" i="3"/>
  <c r="C287" i="3"/>
  <c r="D287" i="3"/>
  <c r="E287" i="3"/>
  <c r="F287" i="3"/>
  <c r="A288" i="3"/>
  <c r="B288" i="3"/>
  <c r="C288" i="3"/>
  <c r="D288" i="3"/>
  <c r="E288" i="3"/>
  <c r="F288" i="3"/>
  <c r="A289" i="3"/>
  <c r="B289" i="3"/>
  <c r="C289" i="3"/>
  <c r="D289" i="3"/>
  <c r="E289" i="3"/>
  <c r="F289" i="3"/>
  <c r="A290" i="3"/>
  <c r="B290" i="3"/>
  <c r="C290" i="3"/>
  <c r="D290" i="3"/>
  <c r="E290" i="3"/>
  <c r="F290" i="3"/>
  <c r="A291" i="3"/>
  <c r="B291" i="3"/>
  <c r="C291" i="3"/>
  <c r="D291" i="3"/>
  <c r="E291" i="3"/>
  <c r="F291" i="3"/>
  <c r="A292" i="3"/>
  <c r="B292" i="3"/>
  <c r="C292" i="3"/>
  <c r="D292" i="3"/>
  <c r="E292" i="3"/>
  <c r="F292" i="3"/>
  <c r="A293" i="3"/>
  <c r="B293" i="3"/>
  <c r="C293" i="3"/>
  <c r="D293" i="3"/>
  <c r="E293" i="3"/>
  <c r="F293" i="3"/>
  <c r="A294" i="3"/>
  <c r="B294" i="3"/>
  <c r="C294" i="3"/>
  <c r="D294" i="3"/>
  <c r="E294" i="3"/>
  <c r="F294" i="3"/>
  <c r="A295" i="3"/>
  <c r="B295" i="3"/>
  <c r="C295" i="3"/>
  <c r="D295" i="3"/>
  <c r="E295" i="3"/>
  <c r="F295" i="3"/>
  <c r="F242" i="3"/>
  <c r="E242" i="3"/>
  <c r="D242" i="3"/>
  <c r="C242" i="3"/>
  <c r="B242" i="3"/>
  <c r="A242" i="3"/>
  <c r="A191" i="3"/>
  <c r="B191" i="3"/>
  <c r="C191" i="3"/>
  <c r="F191" i="3" s="1" a="1"/>
  <c r="F191" i="3" s="1"/>
  <c r="D191" i="3"/>
  <c r="E191" i="3"/>
  <c r="A192" i="3"/>
  <c r="B192" i="3"/>
  <c r="C192" i="3"/>
  <c r="F192" i="3" s="1" a="1"/>
  <c r="F192" i="3" s="1"/>
  <c r="D192" i="3"/>
  <c r="E192" i="3"/>
  <c r="A193" i="3"/>
  <c r="B193" i="3"/>
  <c r="C193" i="3"/>
  <c r="D193" i="3"/>
  <c r="E193" i="3"/>
  <c r="A194" i="3"/>
  <c r="B194" i="3"/>
  <c r="C194" i="3"/>
  <c r="D194" i="3"/>
  <c r="E194" i="3"/>
  <c r="A195" i="3"/>
  <c r="B195" i="3"/>
  <c r="C195" i="3"/>
  <c r="F195" i="3" s="1" a="1"/>
  <c r="F195" i="3" s="1"/>
  <c r="D195" i="3"/>
  <c r="E195" i="3"/>
  <c r="A196" i="3"/>
  <c r="B196" i="3"/>
  <c r="C196" i="3"/>
  <c r="F196" i="3" s="1" a="1"/>
  <c r="F196" i="3" s="1"/>
  <c r="D196" i="3"/>
  <c r="E196" i="3"/>
  <c r="A197" i="3"/>
  <c r="B197" i="3"/>
  <c r="C197" i="3"/>
  <c r="D197" i="3"/>
  <c r="E197" i="3"/>
  <c r="A198" i="3"/>
  <c r="B198" i="3"/>
  <c r="C198" i="3"/>
  <c r="D198" i="3"/>
  <c r="E198" i="3"/>
  <c r="A199" i="3"/>
  <c r="B199" i="3"/>
  <c r="C199" i="3"/>
  <c r="D199" i="3"/>
  <c r="E199" i="3"/>
  <c r="A200" i="3"/>
  <c r="B200" i="3"/>
  <c r="C200" i="3"/>
  <c r="D200" i="3"/>
  <c r="E200" i="3"/>
  <c r="A201" i="3"/>
  <c r="B201" i="3"/>
  <c r="C201" i="3"/>
  <c r="D201" i="3"/>
  <c r="E201" i="3"/>
  <c r="A202" i="3"/>
  <c r="B202" i="3"/>
  <c r="C202" i="3"/>
  <c r="D202" i="3"/>
  <c r="E202" i="3"/>
  <c r="A203" i="3"/>
  <c r="B203" i="3"/>
  <c r="C203" i="3"/>
  <c r="D203" i="3"/>
  <c r="E203" i="3"/>
  <c r="A204" i="3"/>
  <c r="B204" i="3"/>
  <c r="C204" i="3"/>
  <c r="F204" i="3" s="1" a="1"/>
  <c r="F204" i="3" s="1"/>
  <c r="D204" i="3"/>
  <c r="E204" i="3"/>
  <c r="A205" i="3"/>
  <c r="B205" i="3"/>
  <c r="C205" i="3"/>
  <c r="D205" i="3"/>
  <c r="E205" i="3"/>
  <c r="A206" i="3"/>
  <c r="B206" i="3"/>
  <c r="C206" i="3"/>
  <c r="D206" i="3"/>
  <c r="E206" i="3"/>
  <c r="A207" i="3"/>
  <c r="B207" i="3"/>
  <c r="C207" i="3"/>
  <c r="F207" i="3" s="1" a="1"/>
  <c r="F207" i="3" s="1"/>
  <c r="D207" i="3"/>
  <c r="E207" i="3"/>
  <c r="A208" i="3"/>
  <c r="B208" i="3"/>
  <c r="C208" i="3"/>
  <c r="F208" i="3" s="1" a="1"/>
  <c r="F208" i="3" s="1"/>
  <c r="D208" i="3"/>
  <c r="E208" i="3"/>
  <c r="A209" i="3"/>
  <c r="B209" i="3"/>
  <c r="C209" i="3"/>
  <c r="D209" i="3"/>
  <c r="E209" i="3"/>
  <c r="A210" i="3"/>
  <c r="B210" i="3"/>
  <c r="C210" i="3"/>
  <c r="D210" i="3"/>
  <c r="E210" i="3"/>
  <c r="A211" i="3"/>
  <c r="B211" i="3"/>
  <c r="C211" i="3"/>
  <c r="F211" i="3" s="1" a="1"/>
  <c r="F211" i="3" s="1"/>
  <c r="D211" i="3"/>
  <c r="E211" i="3"/>
  <c r="A212" i="3"/>
  <c r="B212" i="3"/>
  <c r="C212" i="3"/>
  <c r="F212" i="3" s="1" a="1"/>
  <c r="F212" i="3" s="1"/>
  <c r="D212" i="3"/>
  <c r="E212" i="3"/>
  <c r="A213" i="3"/>
  <c r="B213" i="3"/>
  <c r="C213" i="3"/>
  <c r="D213" i="3"/>
  <c r="E213" i="3"/>
  <c r="A214" i="3"/>
  <c r="B214" i="3"/>
  <c r="C214" i="3"/>
  <c r="D214" i="3"/>
  <c r="E214" i="3"/>
  <c r="A215" i="3"/>
  <c r="B215" i="3"/>
  <c r="C215" i="3"/>
  <c r="D215" i="3"/>
  <c r="E215" i="3"/>
  <c r="A216" i="3"/>
  <c r="B216" i="3"/>
  <c r="C216" i="3"/>
  <c r="D216" i="3"/>
  <c r="E216" i="3"/>
  <c r="A217" i="3"/>
  <c r="B217" i="3"/>
  <c r="C217" i="3"/>
  <c r="D217" i="3"/>
  <c r="E217" i="3"/>
  <c r="A218" i="3"/>
  <c r="B218" i="3"/>
  <c r="C218" i="3"/>
  <c r="D218" i="3"/>
  <c r="E218" i="3"/>
  <c r="A219" i="3"/>
  <c r="B219" i="3"/>
  <c r="C219" i="3"/>
  <c r="D219" i="3"/>
  <c r="E219" i="3"/>
  <c r="A220" i="3"/>
  <c r="B220" i="3"/>
  <c r="C220" i="3"/>
  <c r="F220" i="3" s="1" a="1"/>
  <c r="F220" i="3" s="1"/>
  <c r="D220" i="3"/>
  <c r="E220" i="3"/>
  <c r="A221" i="3"/>
  <c r="B221" i="3"/>
  <c r="C221" i="3"/>
  <c r="D221" i="3"/>
  <c r="E221" i="3"/>
  <c r="A222" i="3"/>
  <c r="B222" i="3"/>
  <c r="C222" i="3"/>
  <c r="D222" i="3"/>
  <c r="E222" i="3"/>
  <c r="A223" i="3"/>
  <c r="B223" i="3"/>
  <c r="C223" i="3"/>
  <c r="F223" i="3" s="1" a="1"/>
  <c r="F223" i="3" s="1"/>
  <c r="D223" i="3"/>
  <c r="E223" i="3"/>
  <c r="A224" i="3"/>
  <c r="B224" i="3"/>
  <c r="C224" i="3"/>
  <c r="F224" i="3" s="1" a="1"/>
  <c r="F224" i="3" s="1"/>
  <c r="D224" i="3"/>
  <c r="E224" i="3"/>
  <c r="A225" i="3"/>
  <c r="B225" i="3"/>
  <c r="C225" i="3"/>
  <c r="D225" i="3"/>
  <c r="E225" i="3"/>
  <c r="A226" i="3"/>
  <c r="B226" i="3"/>
  <c r="C226" i="3"/>
  <c r="D226" i="3"/>
  <c r="E226" i="3"/>
  <c r="A227" i="3"/>
  <c r="B227" i="3"/>
  <c r="C227" i="3"/>
  <c r="F227" i="3" s="1" a="1"/>
  <c r="F227" i="3" s="1"/>
  <c r="D227" i="3"/>
  <c r="E227" i="3"/>
  <c r="A228" i="3"/>
  <c r="B228" i="3"/>
  <c r="C228" i="3"/>
  <c r="F228" i="3" s="1" a="1"/>
  <c r="F228" i="3" s="1"/>
  <c r="D228" i="3"/>
  <c r="E228" i="3"/>
  <c r="A229" i="3"/>
  <c r="B229" i="3"/>
  <c r="C229" i="3"/>
  <c r="D229" i="3"/>
  <c r="E229" i="3"/>
  <c r="A230" i="3"/>
  <c r="B230" i="3"/>
  <c r="C230" i="3"/>
  <c r="D230" i="3"/>
  <c r="E230" i="3"/>
  <c r="A231" i="3"/>
  <c r="B231" i="3"/>
  <c r="C231" i="3"/>
  <c r="D231" i="3"/>
  <c r="E231" i="3"/>
  <c r="A232" i="3"/>
  <c r="B232" i="3"/>
  <c r="C232" i="3"/>
  <c r="D232" i="3"/>
  <c r="E232" i="3"/>
  <c r="A233" i="3"/>
  <c r="B233" i="3"/>
  <c r="C233" i="3"/>
  <c r="D233" i="3"/>
  <c r="E233" i="3"/>
  <c r="A234" i="3"/>
  <c r="B234" i="3"/>
  <c r="C234" i="3"/>
  <c r="D234" i="3"/>
  <c r="E234" i="3"/>
  <c r="A235" i="3"/>
  <c r="B235" i="3"/>
  <c r="C235" i="3"/>
  <c r="D235" i="3"/>
  <c r="E235" i="3"/>
  <c r="A236" i="3"/>
  <c r="B236" i="3"/>
  <c r="C236" i="3"/>
  <c r="F236" i="3" s="1" a="1"/>
  <c r="F236" i="3" s="1"/>
  <c r="D236" i="3"/>
  <c r="E236" i="3"/>
  <c r="A237" i="3"/>
  <c r="B237" i="3"/>
  <c r="C237" i="3"/>
  <c r="D237" i="3"/>
  <c r="E237" i="3"/>
  <c r="A238" i="3"/>
  <c r="B238" i="3"/>
  <c r="C238" i="3"/>
  <c r="D238" i="3"/>
  <c r="E238" i="3"/>
  <c r="E190" i="3"/>
  <c r="D190" i="3"/>
  <c r="C190" i="3"/>
  <c r="B190" i="3"/>
  <c r="A190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B3" i="3"/>
  <c r="A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3" i="3"/>
  <c r="G243" i="3" a="1"/>
  <c r="G243" i="3" s="1"/>
  <c r="G244" i="3" a="1"/>
  <c r="G244" i="3"/>
  <c r="G245" i="3" a="1"/>
  <c r="G245" i="3" s="1"/>
  <c r="G246" i="3" a="1"/>
  <c r="G246" i="3" s="1"/>
  <c r="G247" i="3" a="1"/>
  <c r="G247" i="3" s="1"/>
  <c r="G248" i="3" a="1"/>
  <c r="G248" i="3"/>
  <c r="G249" i="3" a="1"/>
  <c r="G249" i="3" s="1"/>
  <c r="G250" i="3" a="1"/>
  <c r="G250" i="3" s="1"/>
  <c r="G251" i="3" a="1"/>
  <c r="G251" i="3" s="1"/>
  <c r="G252" i="3" a="1"/>
  <c r="G252" i="3" s="1"/>
  <c r="G253" i="3" a="1"/>
  <c r="G253" i="3" s="1"/>
  <c r="G254" i="3" a="1"/>
  <c r="G254" i="3" s="1"/>
  <c r="G255" i="3" a="1"/>
  <c r="G255" i="3" s="1"/>
  <c r="G256" i="3" a="1"/>
  <c r="G256" i="3" s="1"/>
  <c r="G257" i="3" a="1"/>
  <c r="G257" i="3" s="1"/>
  <c r="G258" i="3" a="1"/>
  <c r="G258" i="3" s="1"/>
  <c r="G259" i="3" a="1"/>
  <c r="G259" i="3" s="1"/>
  <c r="G260" i="3" a="1"/>
  <c r="G260" i="3" s="1"/>
  <c r="G261" i="3" a="1"/>
  <c r="G261" i="3" s="1"/>
  <c r="G262" i="3" a="1"/>
  <c r="G262" i="3" s="1"/>
  <c r="G263" i="3" a="1"/>
  <c r="G263" i="3" s="1"/>
  <c r="G264" i="3" a="1"/>
  <c r="G264" i="3"/>
  <c r="G265" i="3" a="1"/>
  <c r="G265" i="3" s="1"/>
  <c r="G266" i="3" a="1"/>
  <c r="G266" i="3" s="1"/>
  <c r="G267" i="3" a="1"/>
  <c r="G267" i="3" s="1"/>
  <c r="G268" i="3" a="1"/>
  <c r="G268" i="3" s="1"/>
  <c r="G269" i="3" a="1"/>
  <c r="G269" i="3" s="1"/>
  <c r="G270" i="3" a="1"/>
  <c r="G270" i="3"/>
  <c r="G271" i="3" a="1"/>
  <c r="G271" i="3" s="1"/>
  <c r="G272" i="3" a="1"/>
  <c r="G272" i="3" s="1"/>
  <c r="G273" i="3" a="1"/>
  <c r="G273" i="3" s="1"/>
  <c r="G274" i="3" a="1"/>
  <c r="G274" i="3" s="1"/>
  <c r="G275" i="3" a="1"/>
  <c r="G275" i="3" s="1"/>
  <c r="G276" i="3" a="1"/>
  <c r="G276" i="3"/>
  <c r="G277" i="3" a="1"/>
  <c r="G277" i="3" s="1"/>
  <c r="G278" i="3" a="1"/>
  <c r="G278" i="3" s="1"/>
  <c r="G279" i="3" a="1"/>
  <c r="G279" i="3" s="1"/>
  <c r="G280" i="3" a="1"/>
  <c r="G280" i="3"/>
  <c r="G281" i="3" a="1"/>
  <c r="G281" i="3" s="1"/>
  <c r="G282" i="3" a="1"/>
  <c r="G282" i="3" s="1"/>
  <c r="G283" i="3" a="1"/>
  <c r="G283" i="3" s="1"/>
  <c r="G284" i="3" a="1"/>
  <c r="G284" i="3" s="1"/>
  <c r="G285" i="3" a="1"/>
  <c r="G285" i="3" s="1"/>
  <c r="G286" i="3" a="1"/>
  <c r="G286" i="3" s="1"/>
  <c r="G287" i="3" a="1"/>
  <c r="G287" i="3" s="1"/>
  <c r="G288" i="3" a="1"/>
  <c r="G288" i="3" s="1"/>
  <c r="G289" i="3" a="1"/>
  <c r="G289" i="3" s="1"/>
  <c r="G290" i="3" a="1"/>
  <c r="G290" i="3" s="1"/>
  <c r="G291" i="3" a="1"/>
  <c r="G291" i="3" s="1"/>
  <c r="G292" i="3" a="1"/>
  <c r="G292" i="3" s="1"/>
  <c r="G293" i="3" a="1"/>
  <c r="G293" i="3" s="1"/>
  <c r="G294" i="3" a="1"/>
  <c r="G294" i="3" s="1"/>
  <c r="G295" i="3" a="1"/>
  <c r="G295" i="3" s="1"/>
  <c r="G242" i="3" a="1"/>
  <c r="G242" i="3" s="1"/>
  <c r="F193" i="3" a="1"/>
  <c r="F193" i="3" s="1"/>
  <c r="F194" i="3" a="1"/>
  <c r="F194" i="3" s="1"/>
  <c r="F197" i="3" a="1"/>
  <c r="F197" i="3" s="1"/>
  <c r="F198" i="3" a="1"/>
  <c r="F198" i="3" s="1"/>
  <c r="F199" i="3" a="1"/>
  <c r="F199" i="3" s="1"/>
  <c r="F200" i="3" a="1"/>
  <c r="F200" i="3" s="1"/>
  <c r="F201" i="3" a="1"/>
  <c r="F201" i="3" s="1"/>
  <c r="F202" i="3" a="1"/>
  <c r="F202" i="3"/>
  <c r="F203" i="3" a="1"/>
  <c r="F203" i="3" s="1"/>
  <c r="F205" i="3" a="1"/>
  <c r="F205" i="3" s="1"/>
  <c r="F206" i="3" a="1"/>
  <c r="F206" i="3"/>
  <c r="F209" i="3" a="1"/>
  <c r="F209" i="3" s="1"/>
  <c r="F210" i="3" a="1"/>
  <c r="F210" i="3" s="1"/>
  <c r="F213" i="3" a="1"/>
  <c r="F213" i="3" s="1"/>
  <c r="F214" i="3" a="1"/>
  <c r="F214" i="3" s="1"/>
  <c r="F215" i="3" a="1"/>
  <c r="F215" i="3" s="1"/>
  <c r="F216" i="3" a="1"/>
  <c r="F216" i="3" s="1"/>
  <c r="F217" i="3" a="1"/>
  <c r="F217" i="3" s="1"/>
  <c r="F218" i="3" a="1"/>
  <c r="F218" i="3"/>
  <c r="F219" i="3" a="1"/>
  <c r="F219" i="3" s="1"/>
  <c r="F221" i="3" a="1"/>
  <c r="F221" i="3" s="1"/>
  <c r="F222" i="3" a="1"/>
  <c r="F222" i="3"/>
  <c r="F225" i="3" a="1"/>
  <c r="F225" i="3" s="1"/>
  <c r="F226" i="3" a="1"/>
  <c r="F226" i="3" s="1"/>
  <c r="F229" i="3" a="1"/>
  <c r="F229" i="3" s="1"/>
  <c r="F230" i="3" a="1"/>
  <c r="F230" i="3" s="1"/>
  <c r="F231" i="3" a="1"/>
  <c r="F231" i="3" s="1"/>
  <c r="F232" i="3" a="1"/>
  <c r="F232" i="3" s="1"/>
  <c r="F233" i="3" a="1"/>
  <c r="F233" i="3" s="1"/>
  <c r="F234" i="3" a="1"/>
  <c r="F234" i="3"/>
  <c r="F235" i="3" a="1"/>
  <c r="F235" i="3" s="1"/>
  <c r="F237" i="3" a="1"/>
  <c r="F237" i="3" s="1"/>
  <c r="F238" i="3" a="1"/>
  <c r="F238" i="3"/>
  <c r="F190" i="3" a="1"/>
  <c r="F190" i="3" s="1"/>
  <c r="J3" i="3" l="1"/>
  <c r="J6" i="3"/>
  <c r="J10" i="3"/>
  <c r="J14" i="3"/>
  <c r="J18" i="3"/>
  <c r="J22" i="3"/>
  <c r="J26" i="3"/>
  <c r="J30" i="3"/>
  <c r="J34" i="3"/>
  <c r="J38" i="3"/>
  <c r="J42" i="3"/>
  <c r="J46" i="3"/>
  <c r="J50" i="3"/>
  <c r="J54" i="3"/>
  <c r="J58" i="3"/>
  <c r="J62" i="3"/>
  <c r="J66" i="3"/>
  <c r="J70" i="3"/>
  <c r="J74" i="3"/>
  <c r="J78" i="3"/>
  <c r="J82" i="3"/>
  <c r="J86" i="3"/>
  <c r="J90" i="3"/>
  <c r="J94" i="3"/>
  <c r="J98" i="3"/>
  <c r="J102" i="3"/>
  <c r="J106" i="3"/>
  <c r="J110" i="3"/>
  <c r="J114" i="3"/>
  <c r="J118" i="3"/>
  <c r="J122" i="3"/>
  <c r="J126" i="3"/>
  <c r="J130" i="3"/>
  <c r="J134" i="3"/>
  <c r="J138" i="3"/>
  <c r="J142" i="3"/>
  <c r="J146" i="3"/>
  <c r="J150" i="3"/>
  <c r="J154" i="3"/>
  <c r="J158" i="3"/>
  <c r="J162" i="3"/>
  <c r="J166" i="3"/>
  <c r="J170" i="3"/>
  <c r="J174" i="3"/>
  <c r="J178" i="3"/>
  <c r="J182" i="3"/>
  <c r="J186" i="3"/>
  <c r="J7" i="3"/>
  <c r="J11" i="3"/>
  <c r="J15" i="3"/>
  <c r="J19" i="3"/>
  <c r="J23" i="3"/>
  <c r="J27" i="3"/>
  <c r="J31" i="3"/>
  <c r="J35" i="3"/>
  <c r="J39" i="3"/>
  <c r="J43" i="3"/>
  <c r="J47" i="3"/>
  <c r="J51" i="3"/>
  <c r="J55" i="3"/>
  <c r="J59" i="3"/>
  <c r="J63" i="3"/>
  <c r="J67" i="3"/>
  <c r="J71" i="3"/>
  <c r="J75" i="3"/>
  <c r="J79" i="3"/>
  <c r="J83" i="3"/>
  <c r="J87" i="3"/>
  <c r="J91" i="3"/>
  <c r="J95" i="3"/>
  <c r="J99" i="3"/>
  <c r="J103" i="3"/>
  <c r="J107" i="3"/>
  <c r="J111" i="3"/>
  <c r="J115" i="3"/>
  <c r="J119" i="3"/>
  <c r="J123" i="3"/>
  <c r="J127" i="3"/>
  <c r="J131" i="3"/>
  <c r="J135" i="3"/>
  <c r="J139" i="3"/>
  <c r="J143" i="3"/>
  <c r="J147" i="3"/>
  <c r="J151" i="3"/>
  <c r="J155" i="3"/>
  <c r="J159" i="3"/>
  <c r="J163" i="3"/>
  <c r="J167" i="3"/>
  <c r="J171" i="3"/>
  <c r="J175" i="3"/>
  <c r="J179" i="3"/>
  <c r="J183" i="3"/>
  <c r="J4" i="3"/>
  <c r="J12" i="3"/>
  <c r="J20" i="3"/>
  <c r="J28" i="3"/>
  <c r="J36" i="3"/>
  <c r="J44" i="3"/>
  <c r="J52" i="3"/>
  <c r="J60" i="3"/>
  <c r="J68" i="3"/>
  <c r="J76" i="3"/>
  <c r="J84" i="3"/>
  <c r="J92" i="3"/>
  <c r="J100" i="3"/>
  <c r="J108" i="3"/>
  <c r="J116" i="3"/>
  <c r="J124" i="3"/>
  <c r="J132" i="3"/>
  <c r="J140" i="3"/>
  <c r="J148" i="3"/>
  <c r="J156" i="3"/>
  <c r="J164" i="3"/>
  <c r="J172" i="3"/>
  <c r="J180" i="3"/>
  <c r="J5" i="3"/>
  <c r="J13" i="3"/>
  <c r="J21" i="3"/>
  <c r="J29" i="3"/>
  <c r="J37" i="3"/>
  <c r="J45" i="3"/>
  <c r="J53" i="3"/>
  <c r="J61" i="3"/>
  <c r="J69" i="3"/>
  <c r="J77" i="3"/>
  <c r="J85" i="3"/>
  <c r="J93" i="3"/>
  <c r="J101" i="3"/>
  <c r="J109" i="3"/>
  <c r="J117" i="3"/>
  <c r="J125" i="3"/>
  <c r="J133" i="3"/>
  <c r="J141" i="3"/>
  <c r="J149" i="3"/>
  <c r="J157" i="3"/>
  <c r="J165" i="3"/>
  <c r="J173" i="3"/>
  <c r="J181" i="3"/>
  <c r="J8" i="3"/>
  <c r="J16" i="3"/>
  <c r="J24" i="3"/>
  <c r="J32" i="3"/>
  <c r="J40" i="3"/>
  <c r="J48" i="3"/>
  <c r="J56" i="3"/>
  <c r="J64" i="3"/>
  <c r="J72" i="3"/>
  <c r="J80" i="3"/>
  <c r="J88" i="3"/>
  <c r="J96" i="3"/>
  <c r="J104" i="3"/>
  <c r="J112" i="3"/>
  <c r="J120" i="3"/>
  <c r="J128" i="3"/>
  <c r="J136" i="3"/>
  <c r="J144" i="3"/>
  <c r="J152" i="3"/>
  <c r="J160" i="3"/>
  <c r="J168" i="3"/>
  <c r="J176" i="3"/>
  <c r="J184" i="3"/>
  <c r="J9" i="3"/>
  <c r="J17" i="3"/>
  <c r="J25" i="3"/>
  <c r="J33" i="3"/>
  <c r="J41" i="3"/>
  <c r="J49" i="3"/>
  <c r="J57" i="3"/>
  <c r="J65" i="3"/>
  <c r="J73" i="3"/>
  <c r="J81" i="3"/>
  <c r="J89" i="3"/>
  <c r="J97" i="3"/>
  <c r="J105" i="3"/>
  <c r="J113" i="3"/>
  <c r="J121" i="3"/>
  <c r="J129" i="3"/>
  <c r="J137" i="3"/>
  <c r="J145" i="3"/>
  <c r="J153" i="3"/>
  <c r="J161" i="3"/>
  <c r="J169" i="3"/>
  <c r="J177" i="3"/>
  <c r="J185" i="3"/>
  <c r="G3" i="3"/>
  <c r="G6" i="3"/>
  <c r="G7" i="3"/>
  <c r="G11" i="3"/>
  <c r="G15" i="3"/>
  <c r="G19" i="3"/>
  <c r="G23" i="3"/>
  <c r="G27" i="3"/>
  <c r="G31" i="3"/>
  <c r="G35" i="3"/>
  <c r="G39" i="3"/>
  <c r="G43" i="3"/>
  <c r="G47" i="3"/>
  <c r="G51" i="3"/>
  <c r="G55" i="3"/>
  <c r="G59" i="3"/>
  <c r="G63" i="3"/>
  <c r="G67" i="3"/>
  <c r="G71" i="3"/>
  <c r="G75" i="3"/>
  <c r="G79" i="3"/>
  <c r="G83" i="3"/>
  <c r="G87" i="3"/>
  <c r="G91" i="3"/>
  <c r="G95" i="3"/>
  <c r="G99" i="3"/>
  <c r="G103" i="3"/>
  <c r="G107" i="3"/>
  <c r="G111" i="3"/>
  <c r="G115" i="3"/>
  <c r="G119" i="3"/>
  <c r="G123" i="3"/>
  <c r="G127" i="3"/>
  <c r="G131" i="3"/>
  <c r="G135" i="3"/>
  <c r="G139" i="3"/>
  <c r="G143" i="3"/>
  <c r="G147" i="3"/>
  <c r="G151" i="3"/>
  <c r="G155" i="3"/>
  <c r="G159" i="3"/>
  <c r="H3" i="3"/>
  <c r="H6" i="3"/>
  <c r="I6" i="3" s="1"/>
  <c r="H10" i="3"/>
  <c r="I10" i="3" s="1"/>
  <c r="H14" i="3"/>
  <c r="I14" i="3" s="1"/>
  <c r="H18" i="3"/>
  <c r="I18" i="3" s="1"/>
  <c r="H22" i="3"/>
  <c r="I22" i="3" s="1"/>
  <c r="H26" i="3"/>
  <c r="I26" i="3" s="1"/>
  <c r="H30" i="3"/>
  <c r="I30" i="3" s="1"/>
  <c r="H34" i="3"/>
  <c r="I34" i="3" s="1"/>
  <c r="H38" i="3"/>
  <c r="I38" i="3" s="1"/>
  <c r="H42" i="3"/>
  <c r="I42" i="3" s="1"/>
  <c r="H46" i="3"/>
  <c r="I46" i="3" s="1"/>
  <c r="H50" i="3"/>
  <c r="I50" i="3" s="1"/>
  <c r="H54" i="3"/>
  <c r="I54" i="3" s="1"/>
  <c r="H58" i="3"/>
  <c r="I58" i="3" s="1"/>
  <c r="H62" i="3"/>
  <c r="I62" i="3" s="1"/>
  <c r="H66" i="3"/>
  <c r="I66" i="3" s="1"/>
  <c r="H70" i="3"/>
  <c r="I70" i="3" s="1"/>
  <c r="H74" i="3"/>
  <c r="I74" i="3" s="1"/>
  <c r="H78" i="3"/>
  <c r="I78" i="3" s="1"/>
  <c r="H82" i="3"/>
  <c r="I82" i="3" s="1"/>
  <c r="H86" i="3"/>
  <c r="I86" i="3" s="1"/>
  <c r="H90" i="3"/>
  <c r="I90" i="3" s="1"/>
  <c r="H94" i="3"/>
  <c r="I94" i="3" s="1"/>
  <c r="H98" i="3"/>
  <c r="I98" i="3" s="1"/>
  <c r="H102" i="3"/>
  <c r="I102" i="3" s="1"/>
  <c r="H106" i="3"/>
  <c r="I106" i="3" s="1"/>
  <c r="H110" i="3"/>
  <c r="I110" i="3" s="1"/>
  <c r="H114" i="3"/>
  <c r="I114" i="3" s="1"/>
  <c r="H118" i="3"/>
  <c r="I118" i="3" s="1"/>
  <c r="H122" i="3"/>
  <c r="I122" i="3" s="1"/>
  <c r="H126" i="3"/>
  <c r="I126" i="3" s="1"/>
  <c r="H130" i="3"/>
  <c r="I130" i="3" s="1"/>
  <c r="H134" i="3"/>
  <c r="I134" i="3" s="1"/>
  <c r="H138" i="3"/>
  <c r="I138" i="3" s="1"/>
  <c r="H142" i="3"/>
  <c r="I142" i="3" s="1"/>
  <c r="H146" i="3"/>
  <c r="I146" i="3" s="1"/>
  <c r="H150" i="3"/>
  <c r="I150" i="3" s="1"/>
  <c r="H154" i="3"/>
  <c r="I154" i="3" s="1"/>
  <c r="H158" i="3"/>
  <c r="I158" i="3" s="1"/>
  <c r="H162" i="3"/>
  <c r="I162" i="3" s="1"/>
  <c r="H166" i="3"/>
  <c r="I166" i="3" s="1"/>
  <c r="H170" i="3"/>
  <c r="I170" i="3" s="1"/>
  <c r="H174" i="3"/>
  <c r="I174" i="3" s="1"/>
  <c r="H178" i="3"/>
  <c r="I178" i="3" s="1"/>
  <c r="H182" i="3"/>
  <c r="I182" i="3" s="1"/>
  <c r="H186" i="3"/>
  <c r="I186" i="3" s="1"/>
  <c r="H7" i="3"/>
  <c r="I7" i="3" s="1"/>
  <c r="H11" i="3"/>
  <c r="I11" i="3" s="1"/>
  <c r="H15" i="3"/>
  <c r="I15" i="3" s="1"/>
  <c r="H19" i="3"/>
  <c r="I19" i="3" s="1"/>
  <c r="H23" i="3"/>
  <c r="I23" i="3" s="1"/>
  <c r="H27" i="3"/>
  <c r="I27" i="3" s="1"/>
  <c r="H31" i="3"/>
  <c r="I31" i="3" s="1"/>
  <c r="H35" i="3"/>
  <c r="I35" i="3" s="1"/>
  <c r="H39" i="3"/>
  <c r="I39" i="3" s="1"/>
  <c r="H43" i="3"/>
  <c r="I43" i="3" s="1"/>
  <c r="H47" i="3"/>
  <c r="I47" i="3" s="1"/>
  <c r="H51" i="3"/>
  <c r="I51" i="3" s="1"/>
  <c r="H55" i="3"/>
  <c r="I55" i="3" s="1"/>
  <c r="H59" i="3"/>
  <c r="I59" i="3" s="1"/>
  <c r="H63" i="3"/>
  <c r="I63" i="3" s="1"/>
  <c r="H67" i="3"/>
  <c r="I67" i="3" s="1"/>
  <c r="H71" i="3"/>
  <c r="I71" i="3" s="1"/>
  <c r="H75" i="3"/>
  <c r="I75" i="3" s="1"/>
  <c r="H79" i="3"/>
  <c r="I79" i="3" s="1"/>
  <c r="H83" i="3"/>
  <c r="I83" i="3" s="1"/>
  <c r="H87" i="3"/>
  <c r="I87" i="3" s="1"/>
  <c r="H91" i="3"/>
  <c r="I91" i="3" s="1"/>
  <c r="H95" i="3"/>
  <c r="I95" i="3" s="1"/>
  <c r="H99" i="3"/>
  <c r="I99" i="3" s="1"/>
  <c r="H103" i="3"/>
  <c r="I103" i="3" s="1"/>
  <c r="H107" i="3"/>
  <c r="I107" i="3" s="1"/>
  <c r="H111" i="3"/>
  <c r="I111" i="3" s="1"/>
  <c r="H115" i="3"/>
  <c r="I115" i="3" s="1"/>
  <c r="H119" i="3"/>
  <c r="I119" i="3" s="1"/>
  <c r="H123" i="3"/>
  <c r="I123" i="3" s="1"/>
  <c r="H127" i="3"/>
  <c r="I127" i="3" s="1"/>
  <c r="H131" i="3"/>
  <c r="I131" i="3" s="1"/>
  <c r="H135" i="3"/>
  <c r="I135" i="3" s="1"/>
  <c r="H139" i="3"/>
  <c r="I139" i="3" s="1"/>
  <c r="H143" i="3"/>
  <c r="I143" i="3" s="1"/>
  <c r="H147" i="3"/>
  <c r="I147" i="3" s="1"/>
  <c r="H151" i="3"/>
  <c r="I151" i="3" s="1"/>
  <c r="H155" i="3"/>
  <c r="I155" i="3" s="1"/>
  <c r="H159" i="3"/>
  <c r="I159" i="3" s="1"/>
  <c r="H163" i="3"/>
  <c r="I163" i="3" s="1"/>
  <c r="H167" i="3"/>
  <c r="I167" i="3" s="1"/>
  <c r="H171" i="3"/>
  <c r="I171" i="3" s="1"/>
  <c r="H175" i="3"/>
  <c r="I175" i="3" s="1"/>
  <c r="H179" i="3"/>
  <c r="I179" i="3" s="1"/>
  <c r="H183" i="3"/>
  <c r="I183" i="3" s="1"/>
  <c r="G183" i="3"/>
  <c r="G179" i="3"/>
  <c r="G175" i="3"/>
  <c r="G171" i="3"/>
  <c r="G167" i="3"/>
  <c r="G163" i="3"/>
  <c r="G158" i="3"/>
  <c r="G153" i="3"/>
  <c r="G148" i="3"/>
  <c r="G142" i="3"/>
  <c r="G137" i="3"/>
  <c r="G132" i="3"/>
  <c r="G126" i="3"/>
  <c r="G121" i="3"/>
  <c r="G116" i="3"/>
  <c r="G110" i="3"/>
  <c r="G105" i="3"/>
  <c r="G100" i="3"/>
  <c r="G94" i="3"/>
  <c r="G89" i="3"/>
  <c r="G84" i="3"/>
  <c r="G78" i="3"/>
  <c r="G73" i="3"/>
  <c r="G68" i="3"/>
  <c r="G62" i="3"/>
  <c r="G57" i="3"/>
  <c r="G52" i="3"/>
  <c r="G46" i="3"/>
  <c r="G41" i="3"/>
  <c r="G36" i="3"/>
  <c r="G30" i="3"/>
  <c r="G25" i="3"/>
  <c r="G20" i="3"/>
  <c r="G14" i="3"/>
  <c r="G9" i="3"/>
  <c r="H185" i="3"/>
  <c r="I185" i="3" s="1"/>
  <c r="H177" i="3"/>
  <c r="I177" i="3" s="1"/>
  <c r="H169" i="3"/>
  <c r="I169" i="3" s="1"/>
  <c r="H161" i="3"/>
  <c r="I161" i="3" s="1"/>
  <c r="H153" i="3"/>
  <c r="I153" i="3" s="1"/>
  <c r="H145" i="3"/>
  <c r="I145" i="3" s="1"/>
  <c r="H137" i="3"/>
  <c r="I137" i="3" s="1"/>
  <c r="H129" i="3"/>
  <c r="I129" i="3" s="1"/>
  <c r="H121" i="3"/>
  <c r="I121" i="3" s="1"/>
  <c r="H113" i="3"/>
  <c r="I113" i="3" s="1"/>
  <c r="H105" i="3"/>
  <c r="I105" i="3" s="1"/>
  <c r="H97" i="3"/>
  <c r="I97" i="3" s="1"/>
  <c r="H89" i="3"/>
  <c r="I89" i="3" s="1"/>
  <c r="H81" i="3"/>
  <c r="I81" i="3" s="1"/>
  <c r="H73" i="3"/>
  <c r="I73" i="3" s="1"/>
  <c r="H65" i="3"/>
  <c r="I65" i="3" s="1"/>
  <c r="H57" i="3"/>
  <c r="I57" i="3" s="1"/>
  <c r="H49" i="3"/>
  <c r="I49" i="3" s="1"/>
  <c r="H41" i="3"/>
  <c r="I41" i="3" s="1"/>
  <c r="H33" i="3"/>
  <c r="I33" i="3" s="1"/>
  <c r="H25" i="3"/>
  <c r="I25" i="3" s="1"/>
  <c r="H17" i="3"/>
  <c r="I17" i="3" s="1"/>
  <c r="H9" i="3"/>
  <c r="I9" i="3" s="1"/>
  <c r="G186" i="3"/>
  <c r="G182" i="3"/>
  <c r="G178" i="3"/>
  <c r="G174" i="3"/>
  <c r="G170" i="3"/>
  <c r="G166" i="3"/>
  <c r="G162" i="3"/>
  <c r="G157" i="3"/>
  <c r="G152" i="3"/>
  <c r="G146" i="3"/>
  <c r="G141" i="3"/>
  <c r="G136" i="3"/>
  <c r="G130" i="3"/>
  <c r="G125" i="3"/>
  <c r="G120" i="3"/>
  <c r="G114" i="3"/>
  <c r="G109" i="3"/>
  <c r="G104" i="3"/>
  <c r="G98" i="3"/>
  <c r="G93" i="3"/>
  <c r="G88" i="3"/>
  <c r="G82" i="3"/>
  <c r="G77" i="3"/>
  <c r="G72" i="3"/>
  <c r="G66" i="3"/>
  <c r="G61" i="3"/>
  <c r="G56" i="3"/>
  <c r="G50" i="3"/>
  <c r="G45" i="3"/>
  <c r="G40" i="3"/>
  <c r="G34" i="3"/>
  <c r="G29" i="3"/>
  <c r="G24" i="3"/>
  <c r="G18" i="3"/>
  <c r="G13" i="3"/>
  <c r="G8" i="3"/>
  <c r="H184" i="3"/>
  <c r="I184" i="3" s="1"/>
  <c r="H176" i="3"/>
  <c r="I176" i="3" s="1"/>
  <c r="H168" i="3"/>
  <c r="I168" i="3" s="1"/>
  <c r="H160" i="3"/>
  <c r="I160" i="3" s="1"/>
  <c r="H152" i="3"/>
  <c r="I152" i="3" s="1"/>
  <c r="H144" i="3"/>
  <c r="I144" i="3" s="1"/>
  <c r="H136" i="3"/>
  <c r="I136" i="3" s="1"/>
  <c r="H128" i="3"/>
  <c r="I128" i="3" s="1"/>
  <c r="H120" i="3"/>
  <c r="I120" i="3" s="1"/>
  <c r="H112" i="3"/>
  <c r="I112" i="3" s="1"/>
  <c r="H104" i="3"/>
  <c r="I104" i="3" s="1"/>
  <c r="H96" i="3"/>
  <c r="I96" i="3" s="1"/>
  <c r="H88" i="3"/>
  <c r="I88" i="3" s="1"/>
  <c r="H80" i="3"/>
  <c r="I80" i="3" s="1"/>
  <c r="H72" i="3"/>
  <c r="I72" i="3" s="1"/>
  <c r="H64" i="3"/>
  <c r="I64" i="3" s="1"/>
  <c r="H56" i="3"/>
  <c r="I56" i="3" s="1"/>
  <c r="H48" i="3"/>
  <c r="I48" i="3" s="1"/>
  <c r="H40" i="3"/>
  <c r="I40" i="3" s="1"/>
  <c r="H32" i="3"/>
  <c r="I32" i="3" s="1"/>
  <c r="H24" i="3"/>
  <c r="I24" i="3" s="1"/>
  <c r="H16" i="3"/>
  <c r="I16" i="3" s="1"/>
  <c r="H8" i="3"/>
  <c r="I8" i="3" s="1"/>
  <c r="G185" i="3"/>
  <c r="G181" i="3"/>
  <c r="G177" i="3"/>
  <c r="G173" i="3"/>
  <c r="G169" i="3"/>
  <c r="G165" i="3"/>
  <c r="G161" i="3"/>
  <c r="G156" i="3"/>
  <c r="G150" i="3"/>
  <c r="G145" i="3"/>
  <c r="G140" i="3"/>
  <c r="G134" i="3"/>
  <c r="G129" i="3"/>
  <c r="G124" i="3"/>
  <c r="G118" i="3"/>
  <c r="G113" i="3"/>
  <c r="G108" i="3"/>
  <c r="G102" i="3"/>
  <c r="G97" i="3"/>
  <c r="G92" i="3"/>
  <c r="G86" i="3"/>
  <c r="G81" i="3"/>
  <c r="G76" i="3"/>
  <c r="G70" i="3"/>
  <c r="G65" i="3"/>
  <c r="G60" i="3"/>
  <c r="G54" i="3"/>
  <c r="G49" i="3"/>
  <c r="G44" i="3"/>
  <c r="G38" i="3"/>
  <c r="G33" i="3"/>
  <c r="G28" i="3"/>
  <c r="G22" i="3"/>
  <c r="G17" i="3"/>
  <c r="G12" i="3"/>
  <c r="G5" i="3"/>
  <c r="H181" i="3"/>
  <c r="I181" i="3" s="1"/>
  <c r="H173" i="3"/>
  <c r="I173" i="3" s="1"/>
  <c r="H165" i="3"/>
  <c r="I165" i="3" s="1"/>
  <c r="H157" i="3"/>
  <c r="I157" i="3" s="1"/>
  <c r="H149" i="3"/>
  <c r="I149" i="3" s="1"/>
  <c r="H141" i="3"/>
  <c r="I141" i="3" s="1"/>
  <c r="H133" i="3"/>
  <c r="I133" i="3" s="1"/>
  <c r="H125" i="3"/>
  <c r="I125" i="3" s="1"/>
  <c r="H117" i="3"/>
  <c r="I117" i="3" s="1"/>
  <c r="H109" i="3"/>
  <c r="I109" i="3" s="1"/>
  <c r="H101" i="3"/>
  <c r="I101" i="3" s="1"/>
  <c r="H93" i="3"/>
  <c r="I93" i="3" s="1"/>
  <c r="H85" i="3"/>
  <c r="I85" i="3" s="1"/>
  <c r="H77" i="3"/>
  <c r="I77" i="3" s="1"/>
  <c r="H69" i="3"/>
  <c r="I69" i="3" s="1"/>
  <c r="H61" i="3"/>
  <c r="I61" i="3" s="1"/>
  <c r="H53" i="3"/>
  <c r="I53" i="3" s="1"/>
  <c r="H45" i="3"/>
  <c r="I45" i="3" s="1"/>
  <c r="H37" i="3"/>
  <c r="I37" i="3" s="1"/>
  <c r="H29" i="3"/>
  <c r="I29" i="3" s="1"/>
  <c r="H21" i="3"/>
  <c r="I21" i="3" s="1"/>
  <c r="H13" i="3"/>
  <c r="I13" i="3" s="1"/>
  <c r="H5" i="3"/>
  <c r="I5" i="3" s="1"/>
  <c r="G184" i="3"/>
  <c r="G180" i="3"/>
  <c r="G176" i="3"/>
  <c r="G172" i="3"/>
  <c r="G168" i="3"/>
  <c r="G164" i="3"/>
  <c r="G160" i="3"/>
  <c r="G154" i="3"/>
  <c r="G149" i="3"/>
  <c r="G144" i="3"/>
  <c r="G138" i="3"/>
  <c r="G133" i="3"/>
  <c r="G128" i="3"/>
  <c r="G122" i="3"/>
  <c r="G117" i="3"/>
  <c r="G112" i="3"/>
  <c r="G106" i="3"/>
  <c r="G101" i="3"/>
  <c r="G96" i="3"/>
  <c r="G90" i="3"/>
  <c r="G85" i="3"/>
  <c r="G80" i="3"/>
  <c r="G74" i="3"/>
  <c r="G69" i="3"/>
  <c r="G64" i="3"/>
  <c r="G58" i="3"/>
  <c r="G53" i="3"/>
  <c r="G48" i="3"/>
  <c r="G42" i="3"/>
  <c r="G37" i="3"/>
  <c r="G32" i="3"/>
  <c r="G26" i="3"/>
  <c r="G21" i="3"/>
  <c r="G16" i="3"/>
  <c r="G10" i="3"/>
  <c r="G4" i="3"/>
  <c r="H180" i="3"/>
  <c r="I180" i="3" s="1"/>
  <c r="H172" i="3"/>
  <c r="I172" i="3" s="1"/>
  <c r="H164" i="3"/>
  <c r="I164" i="3" s="1"/>
  <c r="H156" i="3"/>
  <c r="I156" i="3" s="1"/>
  <c r="H148" i="3"/>
  <c r="I148" i="3" s="1"/>
  <c r="H140" i="3"/>
  <c r="I140" i="3" s="1"/>
  <c r="H132" i="3"/>
  <c r="I132" i="3" s="1"/>
  <c r="H124" i="3"/>
  <c r="I124" i="3" s="1"/>
  <c r="H116" i="3"/>
  <c r="I116" i="3" s="1"/>
  <c r="H108" i="3"/>
  <c r="I108" i="3" s="1"/>
  <c r="H100" i="3"/>
  <c r="I100" i="3" s="1"/>
  <c r="H92" i="3"/>
  <c r="I92" i="3" s="1"/>
  <c r="H84" i="3"/>
  <c r="I84" i="3" s="1"/>
  <c r="H76" i="3"/>
  <c r="I76" i="3" s="1"/>
  <c r="H68" i="3"/>
  <c r="I68" i="3" s="1"/>
  <c r="H60" i="3"/>
  <c r="I60" i="3" s="1"/>
  <c r="H52" i="3"/>
  <c r="I52" i="3" s="1"/>
  <c r="H44" i="3"/>
  <c r="I44" i="3" s="1"/>
  <c r="H36" i="3"/>
  <c r="I36" i="3" s="1"/>
  <c r="H28" i="3"/>
  <c r="I28" i="3" s="1"/>
  <c r="H20" i="3"/>
  <c r="I20" i="3" s="1"/>
  <c r="H12" i="3"/>
  <c r="I12" i="3" s="1"/>
  <c r="H4" i="3"/>
  <c r="I4" i="3" s="1"/>
  <c r="V3" i="4" l="1" a="1"/>
  <c r="I3" i="3"/>
  <c r="V3" i="4" l="1"/>
  <c r="W3" i="4" s="1"/>
  <c r="W6" i="4"/>
  <c r="W5" i="4"/>
  <c r="W11" i="4"/>
  <c r="W12" i="4"/>
  <c r="W7" i="4"/>
  <c r="W13" i="4"/>
  <c r="W8" i="4"/>
  <c r="W14" i="4"/>
  <c r="W9" i="4"/>
  <c r="W4" i="4"/>
  <c r="W1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8544B1-5722-4310-A9C2-0D1CA449CB7F}" keepAlive="1" name="Zapytanie — customers_summary" description="Połączenie z zapytaniem „customers_summary” w skoroszycie." type="5" refreshedVersion="8" background="1" saveData="1">
    <dbPr connection="Provider=Microsoft.Mashup.OleDb.1;Data Source=$Workbook$;Location=customers_summary;Extended Properties=&quot;&quot;" command="SELECT * FROM [customers_summary]"/>
  </connection>
  <connection id="2" xr16:uid="{525730E6-5F79-4495-A0D8-4494C09D3DA4}" keepAlive="1" name="Zapytanie — sales_orders" description="Połączenie z zapytaniem „sales_orders” w skoroszycie." type="5" refreshedVersion="8" background="1" saveData="1">
    <dbPr connection="Provider=Microsoft.Mashup.OleDb.1;Data Source=$Workbook$;Location=sales_orders;Extended Properties=&quot;&quot;" command="SELECT * FROM [sales_orders]"/>
  </connection>
  <connection id="3" xr16:uid="{BCCFA67F-4BEC-406D-BC61-E6962B50DA27}" keepAlive="1" name="Zapytanie — sales_products" description="Połączenie z zapytaniem „sales_products” w skoroszycie." type="5" refreshedVersion="8" background="1" saveData="1">
    <dbPr connection="Provider=Microsoft.Mashup.OleDb.1;Data Source=$Workbook$;Location=sales_products;Extended Properties=&quot;&quot;" command="SELECT * FROM [sales_produc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<sst xmlns="http://schemas.openxmlformats.org/spreadsheetml/2006/main" count="761" uniqueCount="163">
  <si>
    <t>SQL • Excel • Power BI</t>
  </si>
  <si>
    <t>Autor:</t>
  </si>
  <si>
    <t>Anna Brakoniecka</t>
  </si>
  <si>
    <t>Data:</t>
  </si>
  <si>
    <t>Źródło danych:</t>
  </si>
  <si>
    <t>Okres danych:</t>
  </si>
  <si>
    <t>Liczba zamówień:</t>
  </si>
  <si>
    <t>Liczba klientów:</t>
  </si>
  <si>
    <t>Liczba produktów:</t>
  </si>
  <si>
    <t>Struktura pliku:</t>
  </si>
  <si>
    <t>00_INFO</t>
  </si>
  <si>
    <t>Strona tytułowa i opis projektu</t>
  </si>
  <si>
    <t>01_DANE</t>
  </si>
  <si>
    <t>Dane źródłowe: zamówienia, klienci, produkty</t>
  </si>
  <si>
    <t>02_OBLICZENIA</t>
  </si>
  <si>
    <t>Formuły i funkcje: JEŻELI, WYSZUKAJ.PIONOWO, INDEKS i inne</t>
  </si>
  <si>
    <t>03_TABELE</t>
  </si>
  <si>
    <t>Tabele przestawne</t>
  </si>
  <si>
    <t>Syntetyczne dane testowe — projekt własny (PostgreSQL)</t>
  </si>
  <si>
    <t>order_id</t>
  </si>
  <si>
    <t>order_date</t>
  </si>
  <si>
    <t>customer_id</t>
  </si>
  <si>
    <t>ship_country</t>
  </si>
  <si>
    <t>order_value</t>
  </si>
  <si>
    <t>has_discount</t>
  </si>
  <si>
    <t>Poland</t>
  </si>
  <si>
    <t>NIE</t>
  </si>
  <si>
    <t>TAK</t>
  </si>
  <si>
    <t>USA</t>
  </si>
  <si>
    <t>Spain</t>
  </si>
  <si>
    <t>UK</t>
  </si>
  <si>
    <t>Canada</t>
  </si>
  <si>
    <t>France</t>
  </si>
  <si>
    <t>South Korea</t>
  </si>
  <si>
    <t>Portugal</t>
  </si>
  <si>
    <t>Germany</t>
  </si>
  <si>
    <t>Italy</t>
  </si>
  <si>
    <t>Sweden</t>
  </si>
  <si>
    <t>China</t>
  </si>
  <si>
    <t>India</t>
  </si>
  <si>
    <t>country</t>
  </si>
  <si>
    <t>orders_count</t>
  </si>
  <si>
    <t>total_revenue</t>
  </si>
  <si>
    <t>used_discount</t>
  </si>
  <si>
    <t>Japan</t>
  </si>
  <si>
    <t>Ukraine</t>
  </si>
  <si>
    <t>Russia</t>
  </si>
  <si>
    <t>UAE</t>
  </si>
  <si>
    <t>product_id</t>
  </si>
  <si>
    <t>product_name</t>
  </si>
  <si>
    <t>category_name</t>
  </si>
  <si>
    <t>total_quantity</t>
  </si>
  <si>
    <t>Mountain Bike Helmet</t>
  </si>
  <si>
    <t>Sports &amp; Outdoors</t>
  </si>
  <si>
    <t>4K Ultra TV 55"</t>
  </si>
  <si>
    <t>Electronics</t>
  </si>
  <si>
    <t>Smartphone X100</t>
  </si>
  <si>
    <t>Premium Road Bike</t>
  </si>
  <si>
    <t>Gaming Laptop G5</t>
  </si>
  <si>
    <t>Yoga Mat Comfort</t>
  </si>
  <si>
    <t>Wireless Headphones</t>
  </si>
  <si>
    <t>Tent 2-Person UltraLight</t>
  </si>
  <si>
    <t>Portable Power Bank 20000mAh</t>
  </si>
  <si>
    <t>Espresso Machine Mini</t>
  </si>
  <si>
    <t>Home &amp; Kitchen</t>
  </si>
  <si>
    <t>Smartwatch Active Pro</t>
  </si>
  <si>
    <t>Air Fryer Max</t>
  </si>
  <si>
    <t>RC Car Turbo</t>
  </si>
  <si>
    <t>Toys</t>
  </si>
  <si>
    <t>Bluetooth Speaker Mini</t>
  </si>
  <si>
    <t>Blender Pro 500</t>
  </si>
  <si>
    <t>Fitness Dumbbells Set</t>
  </si>
  <si>
    <t>Stainless Cookware 5pcs</t>
  </si>
  <si>
    <t>Novel "The Lost Path"</t>
  </si>
  <si>
    <t>Books</t>
  </si>
  <si>
    <t>Children Story Book</t>
  </si>
  <si>
    <t>Electric Kettle Steel</t>
  </si>
  <si>
    <t>Office Chair Ergo</t>
  </si>
  <si>
    <t>Office Supplies</t>
  </si>
  <si>
    <t>Electric Hedge Trimmer</t>
  </si>
  <si>
    <t>Garden</t>
  </si>
  <si>
    <t>Face Cream Hydra</t>
  </si>
  <si>
    <t>Beauty</t>
  </si>
  <si>
    <t>Hair Conditioner Silk</t>
  </si>
  <si>
    <t>Running Shoes Pro</t>
  </si>
  <si>
    <t>Cookbook: Healthy Meals</t>
  </si>
  <si>
    <t>Nail Polish Pink</t>
  </si>
  <si>
    <t>Ceramic Plate Set</t>
  </si>
  <si>
    <t>Hiking Backpack 50L</t>
  </si>
  <si>
    <t>Vitamin C Serum 20%</t>
  </si>
  <si>
    <t>Building Blocks Set 120pcs</t>
  </si>
  <si>
    <t>Garden Chair Foldable</t>
  </si>
  <si>
    <t>Puzzle 1000 pcs</t>
  </si>
  <si>
    <t>Solar Garden Light Set</t>
  </si>
  <si>
    <t>Garden Hose 20m</t>
  </si>
  <si>
    <t>Lipstick Matte Red</t>
  </si>
  <si>
    <t>Plush Bear Large</t>
  </si>
  <si>
    <t>Fantasy Saga: Book 1</t>
  </si>
  <si>
    <t>Doll Princess Edition</t>
  </si>
  <si>
    <t>Biography of Innovators</t>
  </si>
  <si>
    <t>Flower Pot Ceramic</t>
  </si>
  <si>
    <t>Mystery Crime Novel</t>
  </si>
  <si>
    <t>Notebook A5 Lined</t>
  </si>
  <si>
    <t>Perfume Lux 50ml</t>
  </si>
  <si>
    <t>Ballpoint Pen Pack 10</t>
  </si>
  <si>
    <t>Toy Robot Simple</t>
  </si>
  <si>
    <t>VR Headset Basic</t>
  </si>
  <si>
    <t>Herbal Shampoo Aloe</t>
  </si>
  <si>
    <t>Romance Novel Bestseller</t>
  </si>
  <si>
    <t>Desk Lamp LED</t>
  </si>
  <si>
    <t>Camping Stove Mini</t>
  </si>
  <si>
    <t>Air Purifier Home</t>
  </si>
  <si>
    <t>Paper Ream A4</t>
  </si>
  <si>
    <t>Organizer Set Desk</t>
  </si>
  <si>
    <t>ZAMÓWIENIA</t>
  </si>
  <si>
    <t>KLIENCI</t>
  </si>
  <si>
    <t>PRODUKTY</t>
  </si>
  <si>
    <t>ZAMÓWIENIA - dane rozszeżone</t>
  </si>
  <si>
    <t>order_month</t>
  </si>
  <si>
    <t>customer_country</t>
  </si>
  <si>
    <t>discount_flag</t>
  </si>
  <si>
    <t>cross_border</t>
  </si>
  <si>
    <t>segment</t>
  </si>
  <si>
    <t>KLIENCI - dane rozszeżone</t>
  </si>
  <si>
    <t>PRODUKTY - dane rozszeżone</t>
  </si>
  <si>
    <t>revenue_category</t>
  </si>
  <si>
    <t>Etykiety wierszy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</si>
  <si>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</si>
  <si>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</si>
  <si>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</si>
  <si>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</si>
  <si>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</si>
  <si>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</si>
  <si>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</si>
  <si>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</si>
  <si>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</si>
  <si>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</si>
  <si>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</si>
  <si>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</si>
  <si>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Suma końcowa</t>
  </si>
  <si>
    <t>Suma z order_value</t>
  </si>
  <si>
    <t>PRZYCHÓD MIESIĘCZNY</t>
  </si>
  <si>
    <t>PRZYCHÓD WG KRAJU</t>
  </si>
  <si>
    <t>Nieaktywny</t>
  </si>
  <si>
    <t>Niski</t>
  </si>
  <si>
    <t>Średni</t>
  </si>
  <si>
    <t>Wysoki</t>
  </si>
  <si>
    <t>Suma z total_revenue</t>
  </si>
  <si>
    <t>PRZYCHÓD WG SEGMENTU</t>
  </si>
  <si>
    <t>TOP PRODUKTY</t>
  </si>
  <si>
    <t>Interaktywny dashboard z KPI i wykresami</t>
  </si>
  <si>
    <t>04_DASHBOARD</t>
  </si>
  <si>
    <t>ANALIZA SPRZEDAŻY E-COMMERCE 2024</t>
  </si>
  <si>
    <t>CAŁKOWITY PRZYCHÓD</t>
  </si>
  <si>
    <t>ANALIZA DANYCH SPRZEDAŻOWYCH E-COMMERCE</t>
  </si>
  <si>
    <t>LICZBA ZAMÓWIEŃ</t>
  </si>
  <si>
    <t>LICZBA KLIENTÓW</t>
  </si>
  <si>
    <t>ŚREDNIA WARTOŚĆ ZAMÓWIENIA</t>
  </si>
  <si>
    <t>LISTA KRAJÓW</t>
  </si>
  <si>
    <t>Wszystkie</t>
  </si>
  <si>
    <t>PRZYCHÓD MIESIĘCZNY — WYBRANY KRAJ</t>
  </si>
  <si>
    <t>Miesiąc</t>
  </si>
  <si>
    <t>Przychód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</si>
</sst>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b/>
      <sz val="12"/>
      <color theme="0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1"/>
      <color theme="0"/>
      <name val="Arial"/>
      <family val="2"/>
      <charset val="238"/>
    </font>
    <font>
      <b/>
      <sz val="18"/>
      <color theme="0"/>
      <name val="Arial"/>
      <family val="2"/>
      <charset val="238"/>
    </font>
    <font>
      <b/>
      <sz val="10"/>
      <color theme="2" tint="-0.749992370372631"/>
      <name val="Arial"/>
      <family val="2"/>
      <charset val="238"/>
    </font>
    <font>
      <b/>
      <sz val="18"/>
      <color theme="4" tint="-0.249977111117893"/>
      <name val="Arial"/>
      <family val="2"/>
      <charset val="238"/>
    </font>
    <font>
      <sz val="8"/>
      <name val="Aptos Narrow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4D4D4D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0" xfId="0" applyFont="1"/>
    <xf numFmtId="0" fontId="1" fillId="0" borderId="0" xfId="0" applyFont="1" applyAlignment="1">
      <alignment horizontal="left"/>
    </xf>
    <xf numFmtId="17" fontId="1" fillId="0" borderId="0" xfId="0" applyNumberFormat="1" applyFont="1" applyAlignment="1">
      <alignment horizontal="left"/>
    </xf>
    <xf numFmtId="0" fontId="4" fillId="0" borderId="0" xfId="0" applyFont="1"/>
    <xf numFmtId="0" fontId="1" fillId="0" borderId="0" xfId="0" applyFont="1"/>
    <xf numFmtId="0" fontId="1" fillId="5" borderId="0" xfId="0" applyFont="1" applyFill="1"/>
    <xf numFmtId="14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1" fontId="1" fillId="0" borderId="1" xfId="0" applyNumberFormat="1" applyFont="1" applyBorder="1"/>
    <xf numFmtId="14" fontId="1" fillId="0" borderId="1" xfId="0" applyNumberFormat="1" applyFont="1" applyBorder="1"/>
    <xf numFmtId="0" fontId="1" fillId="0" borderId="1" xfId="0" applyFont="1" applyBorder="1"/>
    <xf numFmtId="2" fontId="1" fillId="0" borderId="1" xfId="0" applyNumberFormat="1" applyFont="1" applyBorder="1"/>
    <xf numFmtId="0" fontId="0" fillId="0" borderId="1" xfId="0" applyBorder="1"/>
    <xf numFmtId="1" fontId="1" fillId="0" borderId="4" xfId="0" applyNumberFormat="1" applyFont="1" applyBorder="1"/>
    <xf numFmtId="0" fontId="1" fillId="0" borderId="2" xfId="0" applyFont="1" applyBorder="1"/>
    <xf numFmtId="1" fontId="1" fillId="0" borderId="8" xfId="0" applyNumberFormat="1" applyFont="1" applyBorder="1"/>
    <xf numFmtId="14" fontId="1" fillId="0" borderId="9" xfId="0" applyNumberFormat="1" applyFont="1" applyBorder="1"/>
    <xf numFmtId="1" fontId="1" fillId="0" borderId="9" xfId="0" applyNumberFormat="1" applyFont="1" applyBorder="1"/>
    <xf numFmtId="0" fontId="1" fillId="0" borderId="9" xfId="0" applyFont="1" applyBorder="1"/>
    <xf numFmtId="2" fontId="1" fillId="0" borderId="9" xfId="0" applyNumberFormat="1" applyFont="1" applyBorder="1"/>
    <xf numFmtId="0" fontId="1" fillId="0" borderId="10" xfId="0" applyFont="1" applyBorder="1"/>
    <xf numFmtId="0" fontId="0" fillId="0" borderId="8" xfId="0" applyBorder="1"/>
    <xf numFmtId="1" fontId="6" fillId="4" borderId="5" xfId="0" applyNumberFormat="1" applyFont="1" applyFill="1" applyBorder="1"/>
    <xf numFmtId="14" fontId="6" fillId="4" borderId="6" xfId="0" applyNumberFormat="1" applyFont="1" applyFill="1" applyBorder="1"/>
    <xf numFmtId="1" fontId="6" fillId="4" borderId="6" xfId="0" applyNumberFormat="1" applyFont="1" applyFill="1" applyBorder="1"/>
    <xf numFmtId="0" fontId="6" fillId="4" borderId="6" xfId="0" applyFont="1" applyFill="1" applyBorder="1"/>
    <xf numFmtId="2" fontId="6" fillId="4" borderId="6" xfId="0" applyNumberFormat="1" applyFont="1" applyFill="1" applyBorder="1"/>
    <xf numFmtId="0" fontId="6" fillId="4" borderId="7" xfId="0" applyFont="1" applyFill="1" applyBorder="1"/>
    <xf numFmtId="0" fontId="0" fillId="0" borderId="4" xfId="0" applyBorder="1"/>
    <xf numFmtId="0" fontId="0" fillId="0" borderId="9" xfId="0" applyBorder="1"/>
    <xf numFmtId="14" fontId="1" fillId="0" borderId="2" xfId="0" applyNumberFormat="1" applyFont="1" applyBorder="1"/>
    <xf numFmtId="14" fontId="6" fillId="4" borderId="7" xfId="0" applyNumberFormat="1" applyFont="1" applyFill="1" applyBorder="1"/>
    <xf numFmtId="14" fontId="1" fillId="0" borderId="10" xfId="0" applyNumberFormat="1" applyFont="1" applyBorder="1"/>
    <xf numFmtId="0" fontId="1" fillId="0" borderId="1" xfId="0" pivotButton="1" applyFont="1" applyBorder="1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/>
    <xf numFmtId="0" fontId="0" fillId="6" borderId="0" xfId="0" applyFill="1"/>
    <xf numFmtId="0" fontId="6" fillId="3" borderId="12" xfId="0" applyFont="1" applyFill="1" applyBorder="1"/>
    <xf numFmtId="0" fontId="6" fillId="2" borderId="12" xfId="0" applyFont="1" applyFill="1" applyBorder="1"/>
    <xf numFmtId="0" fontId="6" fillId="9" borderId="12" xfId="0" applyFont="1" applyFill="1" applyBorder="1"/>
    <xf numFmtId="0" fontId="6" fillId="10" borderId="12" xfId="0" applyFont="1" applyFill="1" applyBorder="1"/>
    <xf numFmtId="0" fontId="6" fillId="11" borderId="12" xfId="0" applyFont="1" applyFill="1" applyBorder="1"/>
    <xf numFmtId="0" fontId="1" fillId="0" borderId="9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7" fillId="3" borderId="1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3" fontId="9" fillId="7" borderId="12" xfId="0" applyNumberFormat="1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/>
    </xf>
    <xf numFmtId="0" fontId="7" fillId="9" borderId="15" xfId="0" applyFont="1" applyFill="1" applyBorder="1" applyAlignment="1">
      <alignment horizontal="center"/>
    </xf>
    <xf numFmtId="0" fontId="7" fillId="9" borderId="16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5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" fontId="5" fillId="11" borderId="2" xfId="0" applyNumberFormat="1" applyFont="1" applyFill="1" applyBorder="1" applyAlignment="1">
      <alignment horizontal="center"/>
    </xf>
    <xf numFmtId="1" fontId="5" fillId="11" borderId="3" xfId="0" applyNumberFormat="1" applyFont="1" applyFill="1" applyBorder="1" applyAlignment="1">
      <alignment horizontal="center"/>
    </xf>
    <xf numFmtId="1" fontId="5" fillId="11" borderId="4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5" fillId="11" borderId="2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1" fontId="5" fillId="11" borderId="1" xfId="0" applyNumberFormat="1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/>
    </xf>
    <xf numFmtId="0" fontId="5" fillId="10" borderId="1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</cellXfs>
  <cellStyles count="1">
    <cellStyle name="Normalny" xfId="0" builtinId="0"/>
  </cellStyles>
  <dxfs count="10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numFmt numFmtId="1" formatCode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numFmt numFmtId="1" formatCode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238"/>
        <scheme val="none"/>
      </font>
      <fill>
        <patternFill patternType="solid">
          <fgColor indexed="64"/>
          <bgColor theme="9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charset val="238"/>
        <scheme val="none"/>
      </font>
    </dxf>
  </dxfs>
  <tableStyles count="0" defaultTableStyle="TableStyleMedium2" defaultPivotStyle="PivotStyleLight16"/>
  <colors>
    <mruColors>
      <color rgb="FF4D4D4D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P</a:t>
            </a:r>
            <a:r>
              <a:rPr lang="pl-PL">
                <a:latin typeface="Arial" panose="020B0604020202020204" pitchFamily="34" charset="0"/>
                <a:cs typeface="Arial" panose="020B0604020202020204" pitchFamily="34" charset="0"/>
              </a:rPr>
              <a:t>rzychód miesięczny - wybrany</a:t>
            </a:r>
            <a:r>
              <a:rPr lang="pl-PL" baseline="0">
                <a:latin typeface="Arial" panose="020B0604020202020204" pitchFamily="34" charset="0"/>
                <a:cs typeface="Arial" panose="020B0604020202020204" pitchFamily="34" charset="0"/>
              </a:rPr>
              <a:t> kraj</a:t>
            </a:r>
            <a:endParaRPr lang="en-US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6932633420822396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'03_TABELE'!$W$1:$W$2</c:f>
              <c:strCache>
                <c:ptCount val="2"/>
                <c:pt idx="0">
                  <c:v>PRZYCHÓD MIESIĘCZNY — WYBRANY KRAJ</c:v>
                </c:pt>
                <c:pt idx="1">
                  <c:v>Przychód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'03_TABELE'!$V$3:$V$14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'03_TABELE'!$W$3:$W$14</c:f>
              <c:numCache>
                <c:formatCode>#,##0.00</c:formatCode>
                <c:ptCount val="12"/>
                <c:pt idx="0">
                  <c:v>5320.4700000000012</c:v>
                </c:pt>
                <c:pt idx="1">
                  <c:v>1481.79</c:v>
                </c:pt>
                <c:pt idx="2">
                  <c:v>17827.599999999999</c:v>
                </c:pt>
                <c:pt idx="3">
                  <c:v>10679.64</c:v>
                </c:pt>
                <c:pt idx="4">
                  <c:v>19917.439999999999</c:v>
                </c:pt>
                <c:pt idx="5">
                  <c:v>1831.77</c:v>
                </c:pt>
                <c:pt idx="6">
                  <c:v>0</c:v>
                </c:pt>
                <c:pt idx="7">
                  <c:v>895.1</c:v>
                </c:pt>
                <c:pt idx="8">
                  <c:v>9495.5500000000011</c:v>
                </c:pt>
                <c:pt idx="9">
                  <c:v>6677.8899999999994</c:v>
                </c:pt>
                <c:pt idx="10">
                  <c:v>0</c:v>
                </c:pt>
                <c:pt idx="11">
                  <c:v>13807.07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2-4CB2-9E47-6F0C0F0FBE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17531487"/>
        <c:axId val="817522367"/>
      </c:barChart>
      <c:catAx>
        <c:axId val="81753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17522367"/>
        <c:crosses val="autoZero"/>
        <c:auto val="1"/>
        <c:lblAlgn val="ctr"/>
        <c:lblOffset val="100"/>
        <c:noMultiLvlLbl val="0"/>
      </c:catAx>
      <c:valAx>
        <c:axId val="81752236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1753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D4D4D"/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[Ecommerce_Analysis_Anna_Brakoniecka.xlsx]03_TABELE!Tabela przestawna3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l-PL">
                <a:latin typeface="Arial" panose="020B0604020202020204" pitchFamily="34" charset="0"/>
                <a:cs typeface="Arial" panose="020B0604020202020204" pitchFamily="34" charset="0"/>
              </a:rPr>
              <a:t>Struktura klientów wg segmentu</a:t>
            </a:r>
          </a:p>
        </c:rich>
      </c:tx>
      <c:layout>
        <c:manualLayout>
          <c:xMode val="edge"/>
          <c:yMode val="edge"/>
          <c:x val="0.21609711286089239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0858880139982503"/>
              <c:y val="4.9538130650335375E-2"/>
            </c:manualLayout>
          </c:layout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0858880139982503"/>
              <c:y val="4.9538130650335375E-2"/>
            </c:manualLayout>
          </c:layout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0858880139982503"/>
              <c:y val="4.9538130650335375E-2"/>
            </c:manualLayout>
          </c:layout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0858880139982503"/>
              <c:y val="4.9538130650335375E-2"/>
            </c:manualLayout>
          </c:layout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0858880139982503"/>
              <c:y val="4.9538130650335375E-2"/>
            </c:manualLayout>
          </c:layout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0858880139982503"/>
              <c:y val="4.9538130650335375E-2"/>
            </c:manualLayout>
          </c:layout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5887995212599478E-3"/>
              <c:y val="4.9537958698558905E-2"/>
            </c:manualLayout>
          </c:layout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5864373170522049E-2"/>
              <c:y val="3.9898578715396427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5631332976523845E-2"/>
              <c:y val="4.9623532907443174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5631332976523845E-2"/>
              <c:y val="4.9623532907443174E-2"/>
            </c:manualLayout>
          </c:layout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5631332976523845E-2"/>
              <c:y val="4.9623532907443174E-2"/>
            </c:manualLayout>
          </c:layout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5631332976523845E-2"/>
              <c:y val="4.9623532907443174E-2"/>
            </c:manualLayout>
          </c:layout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5631332976523845E-2"/>
              <c:y val="4.9623532907443174E-2"/>
            </c:manualLayout>
          </c:layout>
          <c:spPr>
            <a:solidFill>
              <a:schemeClr val="bg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'03_TABELE'!$K$2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D7-4C6C-B551-C51E84158B6D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D7-4C6C-B551-C51E84158B6D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D7-4C6C-B551-C51E84158B6D}"/>
              </c:ext>
            </c:extLst>
          </c:dPt>
          <c:dPt>
            <c:idx val="3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DD7-4C6C-B551-C51E84158B6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D7-4C6C-B551-C51E84158B6D}"/>
                </c:ext>
              </c:extLst>
            </c:dLbl>
            <c:dLbl>
              <c:idx val="2"/>
              <c:layout>
                <c:manualLayout>
                  <c:x val="-4.5631332976523845E-2"/>
                  <c:y val="4.96235329074431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D7-4C6C-B551-C51E84158B6D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2">
                    <a:lumMod val="2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'03_TABELE'!$J$3:$J$7</c:f>
              <c:strCache>
                <c:ptCount val="4"/>
                <c:pt idx="0">
                  <c:v>Nieaktywny</c:v>
                </c:pt>
                <c:pt idx="1">
                  <c:v>Niski</c:v>
                </c:pt>
                <c:pt idx="2">
                  <c:v>Średni</c:v>
                </c:pt>
                <c:pt idx="3">
                  <c:v>Wysoki</c:v>
                </c:pt>
              </c:strCache>
            </c:strRef>
          </c:cat>
          <c:val>
            <c:numRef>
              <c:f>'03_TABELE'!$K$3:$K$7</c:f>
              <c:numCache>
                <c:formatCode>#,##0.00</c:formatCode>
                <c:ptCount val="4"/>
                <c:pt idx="0">
                  <c:v>0</c:v>
                </c:pt>
                <c:pt idx="1">
                  <c:v>33188.629999999997</c:v>
                </c:pt>
                <c:pt idx="2">
                  <c:v>32614.97</c:v>
                </c:pt>
                <c:pt idx="3">
                  <c:v>238175.72999999998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D7-4C6C-B551-C51E84158B6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D4D4D"/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[Ecommerce_Analysis_Anna_Brakoniecka.xlsx]03_TABELE!Tabela przestawna4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TOP 10 produktów wg przychodu</a:t>
            </a:r>
          </a:p>
        </c:rich>
      </c:tx>
      <c:layout>
        <c:manualLayout>
          <c:xMode val="edge"/>
          <c:yMode val="edge"/>
          <c:x val="0.23243044619422573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l-PL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'03_TABELE'!$O$2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'03_TABELE'!$N$3:$N$13</c:f>
              <c:strCache>
                <c:ptCount val="10"/>
                <c:pt idx="0">
                  <c:v>Mountain Bike Helmet</c:v>
                </c:pt>
                <c:pt idx="1">
                  <c:v>4K Ultra TV 55"</c:v>
                </c:pt>
                <c:pt idx="2">
                  <c:v>Smartphone X100</c:v>
                </c:pt>
                <c:pt idx="3">
                  <c:v>Premium Road Bike</c:v>
                </c:pt>
                <c:pt idx="4">
                  <c:v>Gaming Laptop G5</c:v>
                </c:pt>
                <c:pt idx="5">
                  <c:v>Yoga Mat Comfort</c:v>
                </c:pt>
                <c:pt idx="6">
                  <c:v>Wireless Headphones</c:v>
                </c:pt>
                <c:pt idx="7">
                  <c:v>Tent 2-Person UltraLight</c:v>
                </c:pt>
                <c:pt idx="8">
                  <c:v>Portable Power Bank 20000mAh</c:v>
                </c:pt>
                <c:pt idx="9">
                  <c:v>Espresso Machine Mini</c:v>
                </c:pt>
              </c:strCache>
            </c:strRef>
          </c:cat>
          <c:val>
            <c:numRef>
              <c:f>'03_TABELE'!$O$3:$O$13</c:f>
              <c:numCache>
                <c:formatCode>#,##0.00</c:formatCode>
                <c:ptCount val="10"/>
                <c:pt idx="0">
                  <c:v>80634.149999999994</c:v>
                </c:pt>
                <c:pt idx="1">
                  <c:v>41733.300000000003</c:v>
                </c:pt>
                <c:pt idx="2">
                  <c:v>40859.550000000003</c:v>
                </c:pt>
                <c:pt idx="3">
                  <c:v>35052.980000000003</c:v>
                </c:pt>
                <c:pt idx="4">
                  <c:v>29675.360000000001</c:v>
                </c:pt>
                <c:pt idx="5">
                  <c:v>12827.95</c:v>
                </c:pt>
                <c:pt idx="6">
                  <c:v>6962.55</c:v>
                </c:pt>
                <c:pt idx="7">
                  <c:v>6338</c:v>
                </c:pt>
                <c:pt idx="8">
                  <c:v>5282.87</c:v>
                </c:pt>
                <c:pt idx="9">
                  <c:v>4459.75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4A-4AEF-A196-97CF11FF01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73797807"/>
        <c:axId val="873798287"/>
      </c:barChart>
      <c:catAx>
        <c:axId val="873797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3798287"/>
        <c:crosses val="autoZero"/>
        <c:auto val="1"/>
        <c:lblAlgn val="ctr"/>
        <c:lblOffset val="100"/>
        <c:noMultiLvlLbl val="0"/>
      </c:catAx>
      <c:valAx>
        <c:axId val="873798287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87379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D4D4D"/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[Ecommerce_Analysis_Anna_Brakoniecka.xlsx]03_TABELE!Tabela przestawna2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l-PL">
                <a:latin typeface="Arial" panose="020B0604020202020204" pitchFamily="34" charset="0"/>
                <a:cs typeface="Arial" panose="020B0604020202020204" pitchFamily="34" charset="0"/>
              </a:rPr>
              <a:t>Przychód</a:t>
            </a:r>
            <a:r>
              <a:rPr lang="pl-PL" baseline="0">
                <a:latin typeface="Arial" panose="020B0604020202020204" pitchFamily="34" charset="0"/>
                <a:cs typeface="Arial" panose="020B0604020202020204" pitchFamily="34" charset="0"/>
              </a:rPr>
              <a:t> wg kraju wysyłki</a:t>
            </a:r>
            <a:endParaRPr lang="en-US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'03_TABELE'!$G$2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'03_TABELE'!$F$3:$F$16</c:f>
              <c:strCache>
                <c:ptCount val="13"/>
                <c:pt idx="0">
                  <c:v>Poland</c:v>
                </c:pt>
                <c:pt idx="1">
                  <c:v>USA</c:v>
                </c:pt>
                <c:pt idx="2">
                  <c:v>UK</c:v>
                </c:pt>
                <c:pt idx="3">
                  <c:v>Spain</c:v>
                </c:pt>
                <c:pt idx="4">
                  <c:v>Canada</c:v>
                </c:pt>
                <c:pt idx="5">
                  <c:v>France</c:v>
                </c:pt>
                <c:pt idx="6">
                  <c:v>India</c:v>
                </c:pt>
                <c:pt idx="7">
                  <c:v>South Korea</c:v>
                </c:pt>
                <c:pt idx="8">
                  <c:v>Italy</c:v>
                </c:pt>
                <c:pt idx="9">
                  <c:v>Sweden</c:v>
                </c:pt>
                <c:pt idx="10">
                  <c:v>Portugal</c:v>
                </c:pt>
                <c:pt idx="11">
                  <c:v>Germany</c:v>
                </c:pt>
                <c:pt idx="12">
                  <c:v>China</c:v>
                </c:pt>
              </c:strCache>
            </c:strRef>
          </c:cat>
          <c:val>
            <c:numRef>
              <c:f>'03_TABELE'!$G$3:$G$16</c:f>
              <c:numCache>
                <c:formatCode>#,##0.00</c:formatCode>
                <c:ptCount val="13"/>
                <c:pt idx="0">
                  <c:v>87934.319999999992</c:v>
                </c:pt>
                <c:pt idx="1">
                  <c:v>61829.520000000011</c:v>
                </c:pt>
                <c:pt idx="2">
                  <c:v>48864.06</c:v>
                </c:pt>
                <c:pt idx="3">
                  <c:v>39240.259999999995</c:v>
                </c:pt>
                <c:pt idx="4">
                  <c:v>17975.890000000003</c:v>
                </c:pt>
                <c:pt idx="5">
                  <c:v>12542.609999999999</c:v>
                </c:pt>
                <c:pt idx="6">
                  <c:v>8421.8700000000008</c:v>
                </c:pt>
                <c:pt idx="7">
                  <c:v>8190.58</c:v>
                </c:pt>
                <c:pt idx="8">
                  <c:v>7365.25</c:v>
                </c:pt>
                <c:pt idx="9">
                  <c:v>5094.95</c:v>
                </c:pt>
                <c:pt idx="10">
                  <c:v>2962.88</c:v>
                </c:pt>
                <c:pt idx="11">
                  <c:v>2335.29</c:v>
                </c:pt>
                <c:pt idx="12">
                  <c:v>1221.8499999999999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A-4E6B-83AD-419835DD20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57320591"/>
        <c:axId val="957336911"/>
      </c:barChart>
      <c:catAx>
        <c:axId val="95732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7336911"/>
        <c:crosses val="autoZero"/>
        <c:auto val="1"/>
        <c:lblAlgn val="ctr"/>
        <c:lblOffset val="100"/>
        <c:noMultiLvlLbl val="0"/>
      </c:catAx>
      <c:valAx>
        <c:axId val="95733691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732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D4D4D"/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5" dropStyle="combo" dx="22" fmlaLink="'03_TABELE'!$S$2" fmlaRange="'03_TABELE'!$R$2:$R$14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22</xdr:col>
      <xdr:colOff>0</xdr:colOff>
      <xdr:row>24</xdr:row>
      <xdr:rowOff>47625</xdr:rowOff>
    </xdr:to>
    <xdr:graphicFrame macro="">
      <xdr:nvGraphicFramePr>
        <xdr:cNvPr id="20" name="Wykres 19">
          <a:extLst>
            <a:ext uri="{FF2B5EF4-FFF2-40B4-BE49-F238E27FC236}">
              <a16:creationId xmlns:a16="http://schemas.microsoft.com/office/drawing/2014/main" id="{710FC0C4-01B7-4C82-B182-7D5424DDF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123825</xdr:colOff>
          <xdr:row>10</xdr:row>
          <xdr:rowOff>123825</xdr:rowOff>
        </xdr:from>
        <xdr:to>
          <xdr:col>21</xdr:col>
          <xdr:colOff>171450</xdr:colOff>
          <xdr:row>11</xdr:row>
          <xdr:rowOff>142875</xdr:rowOff>
        </xdr:to>
        <xdr:sp macro="" textlink="">
          <xdr:nvSpPr>
            <xdr:cNvPr id="5125" name="Drop Down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4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24</xdr:row>
      <xdr:rowOff>0</xdr:rowOff>
    </xdr:from>
    <xdr:to>
      <xdr:col>22</xdr:col>
      <xdr:colOff>0</xdr:colOff>
      <xdr:row>37</xdr:row>
      <xdr:rowOff>47625</xdr:rowOff>
    </xdr:to>
    <xdr:graphicFrame macro="">
      <xdr:nvGraphicFramePr>
        <xdr:cNvPr id="22" name="Wykres 21">
          <a:extLst>
            <a:ext uri="{FF2B5EF4-FFF2-40B4-BE49-F238E27FC236}">
              <a16:creationId xmlns:a16="http://schemas.microsoft.com/office/drawing/2014/main" id="{27161CBD-BF4E-42EB-9037-7C3466686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9524</xdr:colOff>
      <xdr:row>10</xdr:row>
      <xdr:rowOff>0</xdr:rowOff>
    </xdr:from>
    <xdr:to>
      <xdr:col>43</xdr:col>
      <xdr:colOff>16564</xdr:colOff>
      <xdr:row>24</xdr:row>
      <xdr:rowOff>28575</xdr:rowOff>
    </xdr:to>
    <xdr:graphicFrame macro="">
      <xdr:nvGraphicFramePr>
        <xdr:cNvPr id="26" name="Wykres 25">
          <a:extLst>
            <a:ext uri="{FF2B5EF4-FFF2-40B4-BE49-F238E27FC236}">
              <a16:creationId xmlns:a16="http://schemas.microsoft.com/office/drawing/2014/main" id="{3FDC2FE9-F449-4CF8-A8F2-EEE64DAFA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248478</xdr:colOff>
      <xdr:row>23</xdr:row>
      <xdr:rowOff>180975</xdr:rowOff>
    </xdr:from>
    <xdr:to>
      <xdr:col>43</xdr:col>
      <xdr:colOff>7039</xdr:colOff>
      <xdr:row>37</xdr:row>
      <xdr:rowOff>38100</xdr:rowOff>
    </xdr:to>
    <xdr:graphicFrame macro="">
      <xdr:nvGraphicFramePr>
        <xdr:cNvPr id="27" name="Wykres 26">
          <a:extLst>
            <a:ext uri="{FF2B5EF4-FFF2-40B4-BE49-F238E27FC236}">
              <a16:creationId xmlns:a16="http://schemas.microsoft.com/office/drawing/2014/main" id="{70B1978B-C7F4-4FA6-9A0B-4AB6E6214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ko" refreshedDate="46132.507277546298" createdVersion="8" refreshedVersion="8" minRefreshableVersion="3" recordCount="184" xr:uid="{D91D237A-7E26-4C12-AF16-2AD46BA3FF7D}">
  <cacheSource type="worksheet">
    <worksheetSource name="tabela_zamowienia_rozszerzona"/>
  </cacheSource>
  <cacheFields count="10">
    <cacheField name="order_id" numFmtId="1">
      <sharedItems containsSemiMixedTypes="0" containsString="0" containsNumber="1" containsInteger="1" minValue="1" maxValue="200"/>
    </cacheField>
    <cacheField name="order_date" numFmtId="14">
      <sharedItems containsSemiMixedTypes="0" containsNonDate="0" containsDate="1" containsString="0" minDate="2024-01-02T00:00:00" maxDate="2025-01-01T00:00:00"/>
    </cacheField>
    <cacheField name="customer_id" numFmtId="1">
      <sharedItems containsSemiMixedTypes="0" containsString="0" containsNumber="1" containsInteger="1" minValue="1" maxValue="40"/>
    </cacheField>
    <cacheField name="ship_country" numFmtId="0">
      <sharedItems count="13">
        <s v="Poland"/>
        <s v="USA"/>
        <s v="Spain"/>
        <s v="UK"/>
        <s v="Canada"/>
        <s v="France"/>
        <s v="South Korea"/>
        <s v="Portugal"/>
        <s v="Germany"/>
        <s v="Italy"/>
        <s v="Sweden"/>
        <s v="China"/>
        <s v="India"/>
      </sharedItems>
    </cacheField>
    <cacheField name="order_value" numFmtId="2">
      <sharedItems containsSemiMixedTypes="0" containsString="0" containsNumber="1" minValue="50.99" maxValue="13175.99"/>
    </cacheField>
    <cacheField name="has_discount" numFmtId="0">
      <sharedItems/>
    </cacheField>
    <cacheField name="order_month" numFmtId="14">
      <sharedItems count="12"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</sharedItems>
    </cacheField>
    <cacheField name="customer_country" numFmtId="0">
      <sharedItems/>
    </cacheField>
    <cacheField name="cross_border" numFmtId="0">
      <sharedItems/>
    </cacheField>
    <cacheField name="discount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ko" refreshedDate="46132.514531365741" createdVersion="8" refreshedVersion="8" minRefreshableVersion="3" recordCount="49" xr:uid="{7C2BE34A-BBF4-40F3-AD4C-EEA2CC5186C8}">
  <cacheSource type="worksheet">
    <worksheetSource name="tabela_klienci_rozszerzona"/>
  </cacheSource>
  <cacheFields count="6">
    <cacheField name="customer_id" numFmtId="0">
      <sharedItems containsSemiMixedTypes="0" containsString="0" containsNumber="1" containsInteger="1" minValue="1" maxValue="49"/>
    </cacheField>
    <cacheField name="country" numFmtId="0">
      <sharedItems/>
    </cacheField>
    <cacheField name="orders_count" numFmtId="1">
      <sharedItems containsSemiMixedTypes="0" containsString="0" containsNumber="1" containsInteger="1" minValue="0" maxValue="6"/>
    </cacheField>
    <cacheField name="total_revenue" numFmtId="2">
      <sharedItems containsSemiMixedTypes="0" containsString="0" containsNumber="1" minValue="0" maxValue="21514.95"/>
    </cacheField>
    <cacheField name="used_discount" numFmtId="0">
      <sharedItems/>
    </cacheField>
    <cacheField name="segment" numFmtId="0">
      <sharedItems count="4">
        <s v="Wysoki"/>
        <s v="Średni"/>
        <s v="Niski"/>
        <s v="Nieaktywn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ko" refreshedDate="46132.515805671297" createdVersion="8" refreshedVersion="8" minRefreshableVersion="3" recordCount="54" xr:uid="{F0870048-6995-4AA9-9A38-EC7F53B49B60}">
  <cacheSource type="worksheet">
    <worksheetSource name="tabela_produkty_rozszerzona"/>
  </cacheSource>
  <cacheFields count="7">
    <cacheField name="product_id" numFmtId="1">
      <sharedItems containsSemiMixedTypes="0" containsString="0" containsNumber="1" containsInteger="1" minValue="1" maxValue="54"/>
    </cacheField>
    <cacheField name="product_name" numFmtId="0">
      <sharedItems count="54">
        <s v="Mountain Bike Helmet"/>
        <s v="4K Ultra TV 55&quot;"/>
        <s v="Smartphone X100"/>
        <s v="Premium Road Bike"/>
        <s v="Gaming Laptop G5"/>
        <s v="Yoga Mat Comfort"/>
        <s v="Wireless Headphones"/>
        <s v="Tent 2-Person UltraLight"/>
        <s v="Portable Power Bank 20000mAh"/>
        <s v="Espresso Machine Mini"/>
        <s v="Smartwatch Active Pro"/>
        <s v="Air Fryer Max"/>
        <s v="RC Car Turbo"/>
        <s v="Bluetooth Speaker Mini"/>
        <s v="Blender Pro 500"/>
        <s v="Fitness Dumbbells Set"/>
        <s v="Stainless Cookware 5pcs"/>
        <s v="Novel &quot;The Lost Path&quot;"/>
        <s v="Children Story Book"/>
        <s v="Electric Kettle Steel"/>
        <s v="Office Chair Ergo"/>
        <s v="Electric Hedge Trimmer"/>
        <s v="Face Cream Hydra"/>
        <s v="Hair Conditioner Silk"/>
        <s v="Running Shoes Pro"/>
        <s v="Cookbook: Healthy Meals"/>
        <s v="Nail Polish Pink"/>
        <s v="Ceramic Plate Set"/>
        <s v="Hiking Backpack 50L"/>
        <s v="Vitamin C Serum 20%"/>
        <s v="Building Blocks Set 120pcs"/>
        <s v="Garden Chair Foldable"/>
        <s v="Puzzle 1000 pcs"/>
        <s v="Solar Garden Light Set"/>
        <s v="Garden Hose 20m"/>
        <s v="Lipstick Matte Red"/>
        <s v="Plush Bear Large"/>
        <s v="Fantasy Saga: Book 1"/>
        <s v="Doll Princess Edition"/>
        <s v="Biography of Innovators"/>
        <s v="Flower Pot Ceramic"/>
        <s v="Mystery Crime Novel"/>
        <s v="Notebook A5 Lined"/>
        <s v="Perfume Lux 50ml"/>
        <s v="Ballpoint Pen Pack 10"/>
        <s v="Toy Robot Simple"/>
        <s v="VR Headset Basic"/>
        <s v="Herbal Shampoo Aloe"/>
        <s v="Romance Novel Bestseller"/>
        <s v="Desk Lamp LED"/>
        <s v="Camping Stove Mini"/>
        <s v="Air Purifier Home"/>
        <s v="Paper Ream A4"/>
        <s v="Organizer Set Desk"/>
      </sharedItems>
    </cacheField>
    <cacheField name="category_name" numFmtId="0">
      <sharedItems/>
    </cacheField>
    <cacheField name="total_quantity" numFmtId="1">
      <sharedItems containsSemiMixedTypes="0" containsString="0" containsNumber="1" containsInteger="1" minValue="0" maxValue="47"/>
    </cacheField>
    <cacheField name="total_revenue" numFmtId="2">
      <sharedItems containsSemiMixedTypes="0" containsString="0" containsNumber="1" minValue="0" maxValue="80634.149999999994"/>
    </cacheField>
    <cacheField name="has_discount" numFmtId="0">
      <sharedItems/>
    </cacheField>
    <cacheField name="revenue_category" numFmtId="1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n v="1"/>
    <d v="2024-01-02T00:00:00"/>
    <n v="1"/>
    <x v="0"/>
    <n v="1129.28"/>
    <s v="NIE"/>
    <x v="0"/>
    <s v="Poland"/>
    <s v="Kraj zgodny"/>
    <s v="Zamówienie standardowe"/>
  </r>
  <r>
    <n v="2"/>
    <d v="2024-01-03T00:00:00"/>
    <n v="2"/>
    <x v="0"/>
    <n v="500.9"/>
    <s v="TAK"/>
    <x v="0"/>
    <s v="Poland"/>
    <s v="Kraj zgodny"/>
    <s v="Zamówienie z rabatem lub niskiej wartości"/>
  </r>
  <r>
    <n v="3"/>
    <d v="2024-01-05T00:00:00"/>
    <n v="3"/>
    <x v="1"/>
    <n v="1149.3900000000001"/>
    <s v="TAK"/>
    <x v="0"/>
    <s v="USA"/>
    <s v="Kraj zgodny"/>
    <s v="Zamówienie z rabatem lub niskiej wartości"/>
  </r>
  <r>
    <n v="4"/>
    <d v="2024-01-06T00:00:00"/>
    <n v="4"/>
    <x v="1"/>
    <n v="5188.7"/>
    <s v="NIE"/>
    <x v="0"/>
    <s v="USA"/>
    <s v="Kraj zgodny"/>
    <s v="Zamówienie standardowe"/>
  </r>
  <r>
    <n v="5"/>
    <d v="2024-01-08T00:00:00"/>
    <n v="5"/>
    <x v="2"/>
    <n v="673.7"/>
    <s v="NIE"/>
    <x v="0"/>
    <s v="Spain"/>
    <s v="Kraj zgodny"/>
    <s v="Zamówienie standardowe"/>
  </r>
  <r>
    <n v="6"/>
    <d v="2024-01-09T00:00:00"/>
    <n v="6"/>
    <x v="3"/>
    <n v="352.99"/>
    <s v="TAK"/>
    <x v="0"/>
    <s v="UK"/>
    <s v="Kraj zgodny"/>
    <s v="Zamówienie z rabatem lub niskiej wartości"/>
  </r>
  <r>
    <n v="7"/>
    <d v="2024-01-10T00:00:00"/>
    <n v="7"/>
    <x v="4"/>
    <n v="310.10000000000002"/>
    <s v="TAK"/>
    <x v="0"/>
    <s v="Canada"/>
    <s v="Kraj zgodny"/>
    <s v="Zamówienie z rabatem lub niskiej wartości"/>
  </r>
  <r>
    <n v="8"/>
    <d v="2024-01-11T00:00:00"/>
    <n v="8"/>
    <x v="0"/>
    <n v="79.900000000000006"/>
    <s v="NIE"/>
    <x v="0"/>
    <s v="Poland"/>
    <s v="Kraj zgodny"/>
    <s v="Zamówienie z rabatem lub niskiej wartości"/>
  </r>
  <r>
    <n v="9"/>
    <d v="2024-01-12T00:00:00"/>
    <n v="9"/>
    <x v="0"/>
    <n v="1348.13"/>
    <s v="TAK"/>
    <x v="0"/>
    <s v="Poland"/>
    <s v="Kraj zgodny"/>
    <s v="Zamówienie z rabatem lub niskiej wartości"/>
  </r>
  <r>
    <n v="10"/>
    <d v="2024-01-13T00:00:00"/>
    <n v="10"/>
    <x v="2"/>
    <n v="199.69"/>
    <s v="NIE"/>
    <x v="0"/>
    <s v="Spain"/>
    <s v="Kraj zgodny"/>
    <s v="Zamówienie standardowe"/>
  </r>
  <r>
    <n v="11"/>
    <d v="2024-01-15T00:00:00"/>
    <n v="1"/>
    <x v="0"/>
    <n v="1628.98"/>
    <s v="NIE"/>
    <x v="0"/>
    <s v="Poland"/>
    <s v="Kraj zgodny"/>
    <s v="Zamówienie standardowe"/>
  </r>
  <r>
    <n v="12"/>
    <d v="2024-01-17T00:00:00"/>
    <n v="3"/>
    <x v="1"/>
    <n v="264.3"/>
    <s v="TAK"/>
    <x v="0"/>
    <s v="USA"/>
    <s v="Kraj zgodny"/>
    <s v="Zamówienie z rabatem lub niskiej wartości"/>
  </r>
  <r>
    <n v="13"/>
    <d v="2024-01-18T00:00:00"/>
    <n v="12"/>
    <x v="1"/>
    <n v="212.71"/>
    <s v="TAK"/>
    <x v="0"/>
    <s v="USA"/>
    <s v="Kraj zgodny"/>
    <s v="Zamówienie z rabatem lub niskiej wartości"/>
  </r>
  <r>
    <n v="14"/>
    <d v="2024-01-19T00:00:00"/>
    <n v="13"/>
    <x v="3"/>
    <n v="826.9"/>
    <s v="NIE"/>
    <x v="0"/>
    <s v="UK"/>
    <s v="Kraj zgodny"/>
    <s v="Zamówienie standardowe"/>
  </r>
  <r>
    <n v="15"/>
    <d v="2024-01-20T00:00:00"/>
    <n v="14"/>
    <x v="3"/>
    <n v="998.98"/>
    <s v="NIE"/>
    <x v="0"/>
    <s v="UK"/>
    <s v="Kraj zgodny"/>
    <s v="Zamówienie standardowe"/>
  </r>
  <r>
    <n v="16"/>
    <d v="2024-01-21T00:00:00"/>
    <n v="15"/>
    <x v="1"/>
    <n v="268.39"/>
    <s v="NIE"/>
    <x v="0"/>
    <s v="USA"/>
    <s v="Kraj zgodny"/>
    <s v="Zamówienie standardowe"/>
  </r>
  <r>
    <n v="17"/>
    <d v="2024-01-22T00:00:00"/>
    <n v="16"/>
    <x v="5"/>
    <n v="449.79"/>
    <s v="NIE"/>
    <x v="0"/>
    <s v="France"/>
    <s v="Kraj zgodny"/>
    <s v="Zamówienie standardowe"/>
  </r>
  <r>
    <n v="18"/>
    <d v="2024-01-23T00:00:00"/>
    <n v="17"/>
    <x v="4"/>
    <n v="248.8"/>
    <s v="NIE"/>
    <x v="0"/>
    <s v="Canada"/>
    <s v="Kraj zgodny"/>
    <s v="Zamówienie standardowe"/>
  </r>
  <r>
    <n v="19"/>
    <d v="2024-01-24T00:00:00"/>
    <n v="18"/>
    <x v="2"/>
    <n v="398"/>
    <s v="NIE"/>
    <x v="0"/>
    <s v="Spain"/>
    <s v="Kraj zgodny"/>
    <s v="Zamówienie standardowe"/>
  </r>
  <r>
    <n v="20"/>
    <d v="2024-01-25T00:00:00"/>
    <n v="19"/>
    <x v="6"/>
    <n v="402.3"/>
    <s v="TAK"/>
    <x v="0"/>
    <s v="South Korea"/>
    <s v="Kraj zgodny"/>
    <s v="Zamówienie z rabatem lub niskiej wartości"/>
  </r>
  <r>
    <n v="21"/>
    <d v="2024-01-26T00:00:00"/>
    <n v="20"/>
    <x v="3"/>
    <n v="857.98"/>
    <s v="NIE"/>
    <x v="0"/>
    <s v="UK"/>
    <s v="Kraj zgodny"/>
    <s v="Zamówienie standardowe"/>
  </r>
  <r>
    <n v="22"/>
    <d v="2024-01-27T00:00:00"/>
    <n v="21"/>
    <x v="1"/>
    <n v="219.7"/>
    <s v="NIE"/>
    <x v="0"/>
    <s v="USA"/>
    <s v="Kraj zgodny"/>
    <s v="Zamówienie standardowe"/>
  </r>
  <r>
    <n v="23"/>
    <d v="2024-01-28T00:00:00"/>
    <n v="22"/>
    <x v="0"/>
    <n v="144.38999999999999"/>
    <s v="NIE"/>
    <x v="0"/>
    <s v="Poland"/>
    <s v="Kraj zgodny"/>
    <s v="Zamówienie standardowe"/>
  </r>
  <r>
    <n v="24"/>
    <d v="2024-01-29T00:00:00"/>
    <n v="23"/>
    <x v="2"/>
    <n v="5998.88"/>
    <s v="NIE"/>
    <x v="0"/>
    <s v="Spain"/>
    <s v="Kraj zgodny"/>
    <s v="Zamówienie standardowe"/>
  </r>
  <r>
    <n v="25"/>
    <d v="2024-01-30T00:00:00"/>
    <n v="24"/>
    <x v="0"/>
    <n v="488.89"/>
    <s v="NIE"/>
    <x v="0"/>
    <s v="Poland"/>
    <s v="Kraj zgodny"/>
    <s v="Zamówienie standardowe"/>
  </r>
  <r>
    <n v="26"/>
    <d v="2024-02-01T00:00:00"/>
    <n v="5"/>
    <x v="2"/>
    <n v="7797"/>
    <s v="NIE"/>
    <x v="1"/>
    <s v="Spain"/>
    <s v="Kraj zgodny"/>
    <s v="Zamówienie standardowe"/>
  </r>
  <r>
    <n v="27"/>
    <d v="2024-02-02T00:00:00"/>
    <n v="6"/>
    <x v="3"/>
    <n v="6226.39"/>
    <s v="NIE"/>
    <x v="1"/>
    <s v="UK"/>
    <s v="Kraj zgodny"/>
    <s v="Zamówienie standardowe"/>
  </r>
  <r>
    <n v="28"/>
    <d v="2024-02-03T00:00:00"/>
    <n v="7"/>
    <x v="4"/>
    <n v="590.98"/>
    <s v="NIE"/>
    <x v="1"/>
    <s v="Canada"/>
    <s v="Kraj zgodny"/>
    <s v="Zamówienie standardowe"/>
  </r>
  <r>
    <n v="29"/>
    <d v="2024-02-04T00:00:00"/>
    <n v="8"/>
    <x v="0"/>
    <n v="480.99"/>
    <s v="NIE"/>
    <x v="1"/>
    <s v="Poland"/>
    <s v="Kraj zgodny"/>
    <s v="Zamówienie standardowe"/>
  </r>
  <r>
    <n v="41"/>
    <d v="2024-02-16T00:00:00"/>
    <n v="20"/>
    <x v="3"/>
    <n v="1188.49"/>
    <s v="NIE"/>
    <x v="1"/>
    <s v="UK"/>
    <s v="Kraj zgodny"/>
    <s v="Zamówienie standardowe"/>
  </r>
  <r>
    <n v="42"/>
    <d v="2024-02-17T00:00:00"/>
    <n v="21"/>
    <x v="1"/>
    <n v="1296.3900000000001"/>
    <s v="NIE"/>
    <x v="1"/>
    <s v="USA"/>
    <s v="Kraj zgodny"/>
    <s v="Zamówienie standardowe"/>
  </r>
  <r>
    <n v="43"/>
    <d v="2024-02-18T00:00:00"/>
    <n v="22"/>
    <x v="0"/>
    <n v="428.99"/>
    <s v="NIE"/>
    <x v="1"/>
    <s v="Poland"/>
    <s v="Kraj zgodny"/>
    <s v="Zamówienie standardowe"/>
  </r>
  <r>
    <n v="44"/>
    <d v="2024-02-19T00:00:00"/>
    <n v="23"/>
    <x v="2"/>
    <n v="150.88"/>
    <s v="NIE"/>
    <x v="1"/>
    <s v="Spain"/>
    <s v="Kraj zgodny"/>
    <s v="Zamówienie standardowe"/>
  </r>
  <r>
    <n v="45"/>
    <d v="2024-02-20T00:00:00"/>
    <n v="24"/>
    <x v="0"/>
    <n v="239.6"/>
    <s v="NIE"/>
    <x v="1"/>
    <s v="Poland"/>
    <s v="Kraj zgodny"/>
    <s v="Zamówienie standardowe"/>
  </r>
  <r>
    <n v="51"/>
    <d v="2024-02-26T00:00:00"/>
    <n v="2"/>
    <x v="0"/>
    <n v="332.21"/>
    <s v="TAK"/>
    <x v="1"/>
    <s v="Poland"/>
    <s v="Kraj zgodny"/>
    <s v="Zamówienie z rabatem lub niskiej wartości"/>
  </r>
  <r>
    <n v="52"/>
    <d v="2024-02-27T00:00:00"/>
    <n v="3"/>
    <x v="1"/>
    <n v="1483.48"/>
    <s v="TAK"/>
    <x v="1"/>
    <s v="USA"/>
    <s v="Kraj zgodny"/>
    <s v="Zamówienie z rabatem lub niskiej wartości"/>
  </r>
  <r>
    <n v="53"/>
    <d v="2024-02-28T00:00:00"/>
    <n v="4"/>
    <x v="1"/>
    <n v="5532.89"/>
    <s v="NIE"/>
    <x v="1"/>
    <s v="USA"/>
    <s v="Kraj zgodny"/>
    <s v="Zamówienie standardowe"/>
  </r>
  <r>
    <n v="54"/>
    <d v="2024-03-01T00:00:00"/>
    <n v="5"/>
    <x v="2"/>
    <n v="1100.43"/>
    <s v="TAK"/>
    <x v="2"/>
    <s v="Spain"/>
    <s v="Kraj zgodny"/>
    <s v="Zamówienie z rabatem lub niskiej wartości"/>
  </r>
  <r>
    <n v="55"/>
    <d v="2024-03-02T00:00:00"/>
    <n v="6"/>
    <x v="3"/>
    <n v="569.29"/>
    <s v="TAK"/>
    <x v="2"/>
    <s v="UK"/>
    <s v="Kraj zgodny"/>
    <s v="Zamówienie z rabatem lub niskiej wartości"/>
  </r>
  <r>
    <n v="56"/>
    <d v="2024-03-03T00:00:00"/>
    <n v="7"/>
    <x v="4"/>
    <n v="10646.98"/>
    <s v="NIE"/>
    <x v="2"/>
    <s v="Canada"/>
    <s v="Kraj zgodny"/>
    <s v="Zamówienie standardowe"/>
  </r>
  <r>
    <n v="57"/>
    <d v="2024-03-04T00:00:00"/>
    <n v="8"/>
    <x v="0"/>
    <n v="3398.99"/>
    <s v="NIE"/>
    <x v="2"/>
    <s v="Poland"/>
    <s v="Kraj zgodny"/>
    <s v="Zamówienie standardowe"/>
  </r>
  <r>
    <n v="58"/>
    <d v="2024-03-05T00:00:00"/>
    <n v="9"/>
    <x v="0"/>
    <n v="234.99"/>
    <s v="NIE"/>
    <x v="2"/>
    <s v="Poland"/>
    <s v="Kraj zgodny"/>
    <s v="Zamówienie standardowe"/>
  </r>
  <r>
    <n v="59"/>
    <d v="2024-03-06T00:00:00"/>
    <n v="10"/>
    <x v="2"/>
    <n v="488.48"/>
    <s v="NIE"/>
    <x v="2"/>
    <s v="Spain"/>
    <s v="Kraj zgodny"/>
    <s v="Zamówienie standardowe"/>
  </r>
  <r>
    <n v="60"/>
    <d v="2024-03-07T00:00:00"/>
    <n v="11"/>
    <x v="7"/>
    <n v="278.69"/>
    <s v="NIE"/>
    <x v="2"/>
    <s v="Portugal"/>
    <s v="Kraj zgodny"/>
    <s v="Zamówienie standardowe"/>
  </r>
  <r>
    <n v="61"/>
    <d v="2024-03-08T00:00:00"/>
    <n v="12"/>
    <x v="1"/>
    <n v="1732.88"/>
    <s v="NIE"/>
    <x v="2"/>
    <s v="USA"/>
    <s v="Kraj zgodny"/>
    <s v="Zamówienie standardowe"/>
  </r>
  <r>
    <n v="62"/>
    <d v="2024-03-09T00:00:00"/>
    <n v="13"/>
    <x v="3"/>
    <n v="618.87"/>
    <s v="NIE"/>
    <x v="2"/>
    <s v="UK"/>
    <s v="Kraj zgodny"/>
    <s v="Zamówienie standardowe"/>
  </r>
  <r>
    <n v="63"/>
    <d v="2024-03-10T00:00:00"/>
    <n v="14"/>
    <x v="3"/>
    <n v="5218.6899999999996"/>
    <s v="NIE"/>
    <x v="2"/>
    <s v="UK"/>
    <s v="Kraj zgodny"/>
    <s v="Zamówienie standardowe"/>
  </r>
  <r>
    <n v="64"/>
    <d v="2024-03-11T00:00:00"/>
    <n v="15"/>
    <x v="1"/>
    <n v="4817.78"/>
    <s v="NIE"/>
    <x v="2"/>
    <s v="USA"/>
    <s v="Kraj zgodny"/>
    <s v="Zamówienie standardowe"/>
  </r>
  <r>
    <n v="65"/>
    <d v="2024-03-12T00:00:00"/>
    <n v="16"/>
    <x v="5"/>
    <n v="1577.96"/>
    <s v="NIE"/>
    <x v="2"/>
    <s v="France"/>
    <s v="Kraj zgodny"/>
    <s v="Zamówienie standardowe"/>
  </r>
  <r>
    <n v="66"/>
    <d v="2024-03-13T00:00:00"/>
    <n v="17"/>
    <x v="4"/>
    <n v="1044.8900000000001"/>
    <s v="TAK"/>
    <x v="2"/>
    <s v="Canada"/>
    <s v="Kraj zgodny"/>
    <s v="Zamówienie z rabatem lub niskiej wartości"/>
  </r>
  <r>
    <n v="67"/>
    <d v="2024-03-14T00:00:00"/>
    <n v="18"/>
    <x v="2"/>
    <n v="318.89"/>
    <s v="NIE"/>
    <x v="2"/>
    <s v="Spain"/>
    <s v="Kraj zgodny"/>
    <s v="Zamówienie standardowe"/>
  </r>
  <r>
    <n v="68"/>
    <d v="2024-03-15T00:00:00"/>
    <n v="19"/>
    <x v="6"/>
    <n v="457.9"/>
    <s v="NIE"/>
    <x v="2"/>
    <s v="South Korea"/>
    <s v="Kraj zgodny"/>
    <s v="Zamówienie standardowe"/>
  </r>
  <r>
    <n v="69"/>
    <d v="2024-03-16T00:00:00"/>
    <n v="20"/>
    <x v="3"/>
    <n v="214.89"/>
    <s v="NIE"/>
    <x v="2"/>
    <s v="UK"/>
    <s v="Kraj zgodny"/>
    <s v="Zamówienie standardowe"/>
  </r>
  <r>
    <n v="70"/>
    <d v="2024-03-17T00:00:00"/>
    <n v="21"/>
    <x v="1"/>
    <n v="518.88"/>
    <s v="NIE"/>
    <x v="2"/>
    <s v="USA"/>
    <s v="Kraj zgodny"/>
    <s v="Zamówienie standardowe"/>
  </r>
  <r>
    <n v="71"/>
    <d v="2024-03-18T00:00:00"/>
    <n v="22"/>
    <x v="0"/>
    <n v="1199.5899999999999"/>
    <s v="NIE"/>
    <x v="2"/>
    <s v="Poland"/>
    <s v="Kraj zgodny"/>
    <s v="Zamówienie standardowe"/>
  </r>
  <r>
    <n v="72"/>
    <d v="2024-03-19T00:00:00"/>
    <n v="23"/>
    <x v="2"/>
    <n v="228.39"/>
    <s v="NIE"/>
    <x v="2"/>
    <s v="Spain"/>
    <s v="Kraj zgodny"/>
    <s v="Zamówienie standardowe"/>
  </r>
  <r>
    <n v="73"/>
    <d v="2024-03-20T00:00:00"/>
    <n v="24"/>
    <x v="0"/>
    <n v="10897.99"/>
    <s v="NIE"/>
    <x v="2"/>
    <s v="Poland"/>
    <s v="Kraj zgodny"/>
    <s v="Zamówienie standardowe"/>
  </r>
  <r>
    <n v="74"/>
    <d v="2024-03-21T00:00:00"/>
    <n v="25"/>
    <x v="0"/>
    <n v="129.9"/>
    <s v="NIE"/>
    <x v="2"/>
    <s v="Poland"/>
    <s v="Kraj zgodny"/>
    <s v="Zamówienie standardowe"/>
  </r>
  <r>
    <n v="75"/>
    <d v="2024-03-22T00:00:00"/>
    <n v="26"/>
    <x v="8"/>
    <n v="627.5"/>
    <s v="NIE"/>
    <x v="2"/>
    <s v="Germany"/>
    <s v="Kraj zgodny"/>
    <s v="Zamówienie standardowe"/>
  </r>
  <r>
    <n v="76"/>
    <d v="2024-03-23T00:00:00"/>
    <n v="27"/>
    <x v="1"/>
    <n v="1118.8800000000001"/>
    <s v="NIE"/>
    <x v="2"/>
    <s v="USA"/>
    <s v="Kraj zgodny"/>
    <s v="Zamówienie standardowe"/>
  </r>
  <r>
    <n v="77"/>
    <d v="2024-03-24T00:00:00"/>
    <n v="28"/>
    <x v="1"/>
    <n v="967"/>
    <s v="NIE"/>
    <x v="2"/>
    <s v="USA"/>
    <s v="Kraj zgodny"/>
    <s v="Zamówienie standardowe"/>
  </r>
  <r>
    <n v="78"/>
    <d v="2024-03-25T00:00:00"/>
    <n v="29"/>
    <x v="1"/>
    <n v="199.98"/>
    <s v="NIE"/>
    <x v="2"/>
    <s v="USA"/>
    <s v="Kraj zgodny"/>
    <s v="Zamówienie standardowe"/>
  </r>
  <r>
    <n v="79"/>
    <d v="2024-03-26T00:00:00"/>
    <n v="30"/>
    <x v="9"/>
    <n v="5596.89"/>
    <s v="NIE"/>
    <x v="2"/>
    <s v="USA"/>
    <s v="Wysyłka za granicę"/>
    <s v="Zamówienie standardowe"/>
  </r>
  <r>
    <n v="80"/>
    <d v="2024-03-27T00:00:00"/>
    <n v="31"/>
    <x v="0"/>
    <n v="848.79"/>
    <s v="NIE"/>
    <x v="2"/>
    <s v="Italy"/>
    <s v="Wysyłka za granicę"/>
    <s v="Zamówienie standardowe"/>
  </r>
  <r>
    <n v="81"/>
    <d v="2024-03-28T00:00:00"/>
    <n v="32"/>
    <x v="0"/>
    <n v="538.48"/>
    <s v="NIE"/>
    <x v="2"/>
    <s v="USA"/>
    <s v="Wysyłka za granicę"/>
    <s v="Zamówienie standardowe"/>
  </r>
  <r>
    <n v="82"/>
    <d v="2024-03-29T00:00:00"/>
    <n v="33"/>
    <x v="10"/>
    <n v="333.9"/>
    <s v="NIE"/>
    <x v="2"/>
    <s v="Poland"/>
    <s v="Wysyłka za granicę"/>
    <s v="Zamówienie standardowe"/>
  </r>
  <r>
    <n v="83"/>
    <d v="2024-03-30T00:00:00"/>
    <n v="34"/>
    <x v="10"/>
    <n v="3518.79"/>
    <s v="NIE"/>
    <x v="2"/>
    <s v="Poland"/>
    <s v="Wysyłka za granicę"/>
    <s v="Zamówienie standardowe"/>
  </r>
  <r>
    <n v="84"/>
    <d v="2024-03-31T00:00:00"/>
    <n v="35"/>
    <x v="0"/>
    <n v="578.87"/>
    <s v="NIE"/>
    <x v="2"/>
    <s v="Ukraine"/>
    <s v="Wysyłka za granicę"/>
    <s v="Zamówienie standardowe"/>
  </r>
  <r>
    <n v="85"/>
    <d v="2024-04-01T00:00:00"/>
    <n v="36"/>
    <x v="0"/>
    <n v="708.39"/>
    <s v="NIE"/>
    <x v="3"/>
    <s v="Russia"/>
    <s v="Wysyłka za granicę"/>
    <s v="Zamówienie standardowe"/>
  </r>
  <r>
    <n v="86"/>
    <d v="2024-04-02T00:00:00"/>
    <n v="37"/>
    <x v="3"/>
    <n v="688.89"/>
    <s v="NIE"/>
    <x v="3"/>
    <s v="Japan"/>
    <s v="Wysyłka za granicę"/>
    <s v="Zamówienie standardowe"/>
  </r>
  <r>
    <n v="87"/>
    <d v="2024-04-03T00:00:00"/>
    <n v="38"/>
    <x v="11"/>
    <n v="187.99"/>
    <s v="NIE"/>
    <x v="3"/>
    <s v="UAE"/>
    <s v="Wysyłka za granicę"/>
    <s v="Zamówienie standardowe"/>
  </r>
  <r>
    <n v="88"/>
    <d v="2024-04-04T00:00:00"/>
    <n v="39"/>
    <x v="12"/>
    <n v="6307.89"/>
    <s v="NIE"/>
    <x v="3"/>
    <s v="China"/>
    <s v="Wysyłka za granicę"/>
    <s v="Zamówienie standardowe"/>
  </r>
  <r>
    <n v="89"/>
    <d v="2024-04-05T00:00:00"/>
    <n v="40"/>
    <x v="0"/>
    <n v="572.4"/>
    <s v="NIE"/>
    <x v="3"/>
    <s v="India"/>
    <s v="Wysyłka za granicę"/>
    <s v="Zamówienie standardowe"/>
  </r>
  <r>
    <n v="90"/>
    <d v="2024-04-06T00:00:00"/>
    <n v="1"/>
    <x v="0"/>
    <n v="338.9"/>
    <s v="NIE"/>
    <x v="3"/>
    <s v="Poland"/>
    <s v="Kraj zgodny"/>
    <s v="Zamówienie standardowe"/>
  </r>
  <r>
    <n v="91"/>
    <d v="2024-04-07T00:00:00"/>
    <n v="2"/>
    <x v="0"/>
    <n v="1038.8900000000001"/>
    <s v="NIE"/>
    <x v="3"/>
    <s v="Poland"/>
    <s v="Kraj zgodny"/>
    <s v="Zamówienie standardowe"/>
  </r>
  <r>
    <n v="92"/>
    <d v="2024-04-08T00:00:00"/>
    <n v="3"/>
    <x v="1"/>
    <n v="2777.5"/>
    <s v="NIE"/>
    <x v="3"/>
    <s v="USA"/>
    <s v="Kraj zgodny"/>
    <s v="Zamówienie standardowe"/>
  </r>
  <r>
    <n v="93"/>
    <d v="2024-04-09T00:00:00"/>
    <n v="4"/>
    <x v="1"/>
    <n v="1245.49"/>
    <s v="NIE"/>
    <x v="3"/>
    <s v="USA"/>
    <s v="Kraj zgodny"/>
    <s v="Zamówienie standardowe"/>
  </r>
  <r>
    <n v="94"/>
    <d v="2024-04-10T00:00:00"/>
    <n v="5"/>
    <x v="2"/>
    <n v="966.99"/>
    <s v="NIE"/>
    <x v="3"/>
    <s v="Spain"/>
    <s v="Kraj zgodny"/>
    <s v="Zamówienie standardowe"/>
  </r>
  <r>
    <n v="95"/>
    <d v="2024-04-11T00:00:00"/>
    <n v="6"/>
    <x v="3"/>
    <n v="13175.99"/>
    <s v="NIE"/>
    <x v="3"/>
    <s v="UK"/>
    <s v="Kraj zgodny"/>
    <s v="Zamówienie standardowe"/>
  </r>
  <r>
    <n v="96"/>
    <d v="2024-04-12T00:00:00"/>
    <n v="7"/>
    <x v="4"/>
    <n v="513.9"/>
    <s v="NIE"/>
    <x v="3"/>
    <s v="Canada"/>
    <s v="Kraj zgodny"/>
    <s v="Zamówienie standardowe"/>
  </r>
  <r>
    <n v="97"/>
    <d v="2024-04-13T00:00:00"/>
    <n v="8"/>
    <x v="0"/>
    <n v="6788.38"/>
    <s v="NIE"/>
    <x v="3"/>
    <s v="Poland"/>
    <s v="Kraj zgodny"/>
    <s v="Zamówienie standardowe"/>
  </r>
  <r>
    <n v="98"/>
    <d v="2024-04-14T00:00:00"/>
    <n v="9"/>
    <x v="0"/>
    <n v="1232.68"/>
    <s v="NIE"/>
    <x v="3"/>
    <s v="Poland"/>
    <s v="Kraj zgodny"/>
    <s v="Zamówienie standardowe"/>
  </r>
  <r>
    <n v="99"/>
    <d v="2024-04-15T00:00:00"/>
    <n v="10"/>
    <x v="2"/>
    <n v="937.6"/>
    <s v="NIE"/>
    <x v="3"/>
    <s v="Spain"/>
    <s v="Kraj zgodny"/>
    <s v="Zamówienie standardowe"/>
  </r>
  <r>
    <n v="100"/>
    <d v="2024-05-01T00:00:00"/>
    <n v="12"/>
    <x v="1"/>
    <n v="3398.99"/>
    <s v="NIE"/>
    <x v="4"/>
    <s v="USA"/>
    <s v="Kraj zgodny"/>
    <s v="Zamówienie standardowe"/>
  </r>
  <r>
    <n v="101"/>
    <d v="2024-05-02T00:00:00"/>
    <n v="13"/>
    <x v="3"/>
    <n v="1538.52"/>
    <s v="TAK"/>
    <x v="4"/>
    <s v="UK"/>
    <s v="Kraj zgodny"/>
    <s v="Zamówienie z rabatem lub niskiej wartości"/>
  </r>
  <r>
    <n v="102"/>
    <d v="2024-05-03T00:00:00"/>
    <n v="14"/>
    <x v="3"/>
    <n v="229.79"/>
    <s v="NIE"/>
    <x v="4"/>
    <s v="UK"/>
    <s v="Kraj zgodny"/>
    <s v="Zamówienie standardowe"/>
  </r>
  <r>
    <n v="103"/>
    <d v="2024-05-04T00:00:00"/>
    <n v="15"/>
    <x v="1"/>
    <n v="1558.47"/>
    <s v="NIE"/>
    <x v="4"/>
    <s v="USA"/>
    <s v="Kraj zgodny"/>
    <s v="Zamówienie standardowe"/>
  </r>
  <r>
    <n v="104"/>
    <d v="2024-05-05T00:00:00"/>
    <n v="16"/>
    <x v="5"/>
    <n v="7537.99"/>
    <s v="NIE"/>
    <x v="4"/>
    <s v="France"/>
    <s v="Kraj zgodny"/>
    <s v="Zamówienie standardowe"/>
  </r>
  <r>
    <n v="105"/>
    <d v="2024-05-06T00:00:00"/>
    <n v="17"/>
    <x v="4"/>
    <n v="214.39"/>
    <s v="NIE"/>
    <x v="4"/>
    <s v="Canada"/>
    <s v="Kraj zgodny"/>
    <s v="Zamówienie standardowe"/>
  </r>
  <r>
    <n v="106"/>
    <d v="2024-05-07T00:00:00"/>
    <n v="18"/>
    <x v="2"/>
    <n v="435.29"/>
    <s v="TAK"/>
    <x v="4"/>
    <s v="Spain"/>
    <s v="Kraj zgodny"/>
    <s v="Zamówienie z rabatem lub niskiej wartości"/>
  </r>
  <r>
    <n v="107"/>
    <d v="2024-05-08T00:00:00"/>
    <n v="19"/>
    <x v="6"/>
    <n v="84.89"/>
    <s v="NIE"/>
    <x v="4"/>
    <s v="South Korea"/>
    <s v="Kraj zgodny"/>
    <s v="Zamówienie z rabatem lub niskiej wartości"/>
  </r>
  <r>
    <n v="108"/>
    <d v="2024-05-09T00:00:00"/>
    <n v="20"/>
    <x v="3"/>
    <n v="447.9"/>
    <s v="NIE"/>
    <x v="4"/>
    <s v="UK"/>
    <s v="Kraj zgodny"/>
    <s v="Zamówienie standardowe"/>
  </r>
  <r>
    <n v="109"/>
    <d v="2024-05-10T00:00:00"/>
    <n v="21"/>
    <x v="1"/>
    <n v="188.8"/>
    <s v="NIE"/>
    <x v="4"/>
    <s v="USA"/>
    <s v="Kraj zgodny"/>
    <s v="Zamówienie standardowe"/>
  </r>
  <r>
    <n v="110"/>
    <d v="2024-05-11T00:00:00"/>
    <n v="22"/>
    <x v="0"/>
    <n v="507.99"/>
    <s v="NIE"/>
    <x v="4"/>
    <s v="Poland"/>
    <s v="Kraj zgodny"/>
    <s v="Zamówienie standardowe"/>
  </r>
  <r>
    <n v="111"/>
    <d v="2024-05-12T00:00:00"/>
    <n v="23"/>
    <x v="2"/>
    <n v="349.5"/>
    <s v="NIE"/>
    <x v="4"/>
    <s v="Spain"/>
    <s v="Kraj zgodny"/>
    <s v="Zamówienie standardowe"/>
  </r>
  <r>
    <n v="112"/>
    <d v="2024-05-13T00:00:00"/>
    <n v="24"/>
    <x v="0"/>
    <n v="109.39"/>
    <s v="NIE"/>
    <x v="4"/>
    <s v="Poland"/>
    <s v="Kraj zgodny"/>
    <s v="Zamówienie standardowe"/>
  </r>
  <r>
    <n v="113"/>
    <d v="2024-05-14T00:00:00"/>
    <n v="25"/>
    <x v="0"/>
    <n v="3698.38"/>
    <s v="NIE"/>
    <x v="4"/>
    <s v="Poland"/>
    <s v="Kraj zgodny"/>
    <s v="Zamówienie standardowe"/>
  </r>
  <r>
    <n v="114"/>
    <d v="2024-05-15T00:00:00"/>
    <n v="26"/>
    <x v="8"/>
    <n v="458.9"/>
    <s v="NIE"/>
    <x v="4"/>
    <s v="Germany"/>
    <s v="Kraj zgodny"/>
    <s v="Zamówienie standardowe"/>
  </r>
  <r>
    <n v="115"/>
    <d v="2024-05-16T00:00:00"/>
    <n v="27"/>
    <x v="1"/>
    <n v="1297.5"/>
    <s v="NIE"/>
    <x v="4"/>
    <s v="USA"/>
    <s v="Kraj zgodny"/>
    <s v="Zamówienie standardowe"/>
  </r>
  <r>
    <n v="116"/>
    <d v="2024-05-17T00:00:00"/>
    <n v="28"/>
    <x v="1"/>
    <n v="1438.48"/>
    <s v="NIE"/>
    <x v="4"/>
    <s v="USA"/>
    <s v="Kraj zgodny"/>
    <s v="Zamówienie standardowe"/>
  </r>
  <r>
    <n v="117"/>
    <d v="2024-05-18T00:00:00"/>
    <n v="29"/>
    <x v="1"/>
    <n v="1046"/>
    <s v="NIE"/>
    <x v="4"/>
    <s v="USA"/>
    <s v="Kraj zgodny"/>
    <s v="Zamówienie standardowe"/>
  </r>
  <r>
    <n v="118"/>
    <d v="2024-05-19T00:00:00"/>
    <n v="30"/>
    <x v="9"/>
    <n v="164.98"/>
    <s v="NIE"/>
    <x v="4"/>
    <s v="USA"/>
    <s v="Wysyłka za granicę"/>
    <s v="Zamówienie standardowe"/>
  </r>
  <r>
    <n v="119"/>
    <d v="2024-05-20T00:00:00"/>
    <n v="31"/>
    <x v="0"/>
    <n v="5088"/>
    <s v="NIE"/>
    <x v="4"/>
    <s v="Italy"/>
    <s v="Wysyłka za granicę"/>
    <s v="Zamówienie standardowe"/>
  </r>
  <r>
    <n v="120"/>
    <d v="2024-05-21T00:00:00"/>
    <n v="32"/>
    <x v="0"/>
    <n v="437.81"/>
    <s v="TAK"/>
    <x v="4"/>
    <s v="USA"/>
    <s v="Wysyłka za granicę"/>
    <s v="Zamówienie z rabatem lub niskiej wartości"/>
  </r>
  <r>
    <n v="121"/>
    <d v="2024-05-22T00:00:00"/>
    <n v="33"/>
    <x v="10"/>
    <n v="538.48"/>
    <s v="NIE"/>
    <x v="4"/>
    <s v="Poland"/>
    <s v="Wysyłka za granicę"/>
    <s v="Zamówienie standardowe"/>
  </r>
  <r>
    <n v="122"/>
    <d v="2024-05-23T00:00:00"/>
    <n v="34"/>
    <x v="10"/>
    <n v="209.8"/>
    <s v="NIE"/>
    <x v="4"/>
    <s v="Poland"/>
    <s v="Wysyłka za granicę"/>
    <s v="Zamówienie standardowe"/>
  </r>
  <r>
    <n v="123"/>
    <d v="2024-05-24T00:00:00"/>
    <n v="35"/>
    <x v="0"/>
    <n v="3687.99"/>
    <s v="NIE"/>
    <x v="4"/>
    <s v="Ukraine"/>
    <s v="Wysyłka za granicę"/>
    <s v="Zamówienie standardowe"/>
  </r>
  <r>
    <n v="124"/>
    <d v="2024-05-25T00:00:00"/>
    <n v="36"/>
    <x v="0"/>
    <n v="1338.98"/>
    <s v="NIE"/>
    <x v="4"/>
    <s v="Russia"/>
    <s v="Wysyłka za granicę"/>
    <s v="Zamówienie standardowe"/>
  </r>
  <r>
    <n v="125"/>
    <d v="2024-05-26T00:00:00"/>
    <n v="37"/>
    <x v="3"/>
    <n v="708.39"/>
    <s v="NIE"/>
    <x v="4"/>
    <s v="Japan"/>
    <s v="Wysyłka za granicę"/>
    <s v="Zamówienie standardowe"/>
  </r>
  <r>
    <n v="126"/>
    <d v="2024-05-27T00:00:00"/>
    <n v="38"/>
    <x v="11"/>
    <n v="459.98"/>
    <s v="NIE"/>
    <x v="4"/>
    <s v="UAE"/>
    <s v="Wysyłka za granicę"/>
    <s v="Zamówienie standardowe"/>
  </r>
  <r>
    <n v="127"/>
    <d v="2024-05-28T00:00:00"/>
    <n v="39"/>
    <x v="12"/>
    <n v="1615.99"/>
    <s v="NIE"/>
    <x v="4"/>
    <s v="China"/>
    <s v="Wysyłka za granicę"/>
    <s v="Zamówienie standardowe"/>
  </r>
  <r>
    <n v="128"/>
    <d v="2024-05-29T00:00:00"/>
    <n v="40"/>
    <x v="0"/>
    <n v="5048.8999999999996"/>
    <s v="NIE"/>
    <x v="4"/>
    <s v="India"/>
    <s v="Wysyłka za granicę"/>
    <s v="Zamówienie standardowe"/>
  </r>
  <r>
    <n v="129"/>
    <d v="2024-06-01T00:00:00"/>
    <n v="1"/>
    <x v="0"/>
    <n v="99.5"/>
    <s v="NIE"/>
    <x v="5"/>
    <s v="Poland"/>
    <s v="Kraj zgodny"/>
    <s v="Zamówienie z rabatem lub niskiej wartości"/>
  </r>
  <r>
    <n v="130"/>
    <d v="2024-06-03T00:00:00"/>
    <n v="2"/>
    <x v="0"/>
    <n v="289"/>
    <s v="NIE"/>
    <x v="5"/>
    <s v="Poland"/>
    <s v="Kraj zgodny"/>
    <s v="Zamówienie standardowe"/>
  </r>
  <r>
    <n v="131"/>
    <d v="2024-06-05T00:00:00"/>
    <n v="3"/>
    <x v="1"/>
    <n v="934.98"/>
    <s v="NIE"/>
    <x v="5"/>
    <s v="USA"/>
    <s v="Kraj zgodny"/>
    <s v="Zamówienie standardowe"/>
  </r>
  <r>
    <n v="132"/>
    <d v="2024-06-07T00:00:00"/>
    <n v="4"/>
    <x v="1"/>
    <n v="2828.49"/>
    <s v="NIE"/>
    <x v="5"/>
    <s v="USA"/>
    <s v="Kraj zgodny"/>
    <s v="Zamówienie standardowe"/>
  </r>
  <r>
    <n v="133"/>
    <d v="2024-06-09T00:00:00"/>
    <n v="5"/>
    <x v="2"/>
    <n v="3697"/>
    <s v="NIE"/>
    <x v="5"/>
    <s v="Spain"/>
    <s v="Kraj zgodny"/>
    <s v="Zamówienie standardowe"/>
  </r>
  <r>
    <n v="134"/>
    <d v="2024-06-11T00:00:00"/>
    <n v="6"/>
    <x v="3"/>
    <n v="676.39"/>
    <s v="NIE"/>
    <x v="5"/>
    <s v="UK"/>
    <s v="Kraj zgodny"/>
    <s v="Zamówienie standardowe"/>
  </r>
  <r>
    <n v="135"/>
    <d v="2024-06-13T00:00:00"/>
    <n v="7"/>
    <x v="4"/>
    <n v="3347.98"/>
    <s v="NIE"/>
    <x v="5"/>
    <s v="Canada"/>
    <s v="Kraj zgodny"/>
    <s v="Zamówienie standardowe"/>
  </r>
  <r>
    <n v="136"/>
    <d v="2024-06-15T00:00:00"/>
    <n v="8"/>
    <x v="0"/>
    <n v="264.3"/>
    <s v="NIE"/>
    <x v="5"/>
    <s v="Poland"/>
    <s v="Kraj zgodny"/>
    <s v="Zamówienie standardowe"/>
  </r>
  <r>
    <n v="137"/>
    <d v="2024-06-17T00:00:00"/>
    <n v="9"/>
    <x v="0"/>
    <n v="1178.97"/>
    <s v="NIE"/>
    <x v="5"/>
    <s v="Poland"/>
    <s v="Kraj zgodny"/>
    <s v="Zamówienie standardowe"/>
  </r>
  <r>
    <n v="138"/>
    <d v="2024-06-19T00:00:00"/>
    <n v="10"/>
    <x v="2"/>
    <n v="958.19"/>
    <s v="NIE"/>
    <x v="5"/>
    <s v="Spain"/>
    <s v="Kraj zgodny"/>
    <s v="Zamówienie standardowe"/>
  </r>
  <r>
    <n v="139"/>
    <d v="2024-06-21T00:00:00"/>
    <n v="11"/>
    <x v="7"/>
    <n v="1476.7"/>
    <s v="NIE"/>
    <x v="5"/>
    <s v="Portugal"/>
    <s v="Kraj zgodny"/>
    <s v="Zamówienie standardowe"/>
  </r>
  <r>
    <n v="140"/>
    <d v="2024-06-23T00:00:00"/>
    <n v="12"/>
    <x v="1"/>
    <n v="2146.9899999999998"/>
    <s v="NIE"/>
    <x v="5"/>
    <s v="USA"/>
    <s v="Kraj zgodny"/>
    <s v="Zamówienie standardowe"/>
  </r>
  <r>
    <n v="141"/>
    <d v="2024-06-25T00:00:00"/>
    <n v="13"/>
    <x v="3"/>
    <n v="444.89"/>
    <s v="NIE"/>
    <x v="5"/>
    <s v="UK"/>
    <s v="Kraj zgodny"/>
    <s v="Zamówienie standardowe"/>
  </r>
  <r>
    <n v="142"/>
    <d v="2024-06-27T00:00:00"/>
    <n v="14"/>
    <x v="3"/>
    <n v="169.7"/>
    <s v="NIE"/>
    <x v="5"/>
    <s v="UK"/>
    <s v="Kraj zgodny"/>
    <s v="Zamówienie standardowe"/>
  </r>
  <r>
    <n v="143"/>
    <d v="2024-06-29T00:00:00"/>
    <n v="15"/>
    <x v="1"/>
    <n v="1497.49"/>
    <s v="NIE"/>
    <x v="5"/>
    <s v="USA"/>
    <s v="Kraj zgodny"/>
    <s v="Zamówienie standardowe"/>
  </r>
  <r>
    <n v="144"/>
    <d v="2024-07-02T00:00:00"/>
    <n v="16"/>
    <x v="5"/>
    <n v="268.89"/>
    <s v="NIE"/>
    <x v="6"/>
    <s v="France"/>
    <s v="Kraj zgodny"/>
    <s v="Zamówienie standardowe"/>
  </r>
  <r>
    <n v="145"/>
    <d v="2024-07-04T00:00:00"/>
    <n v="17"/>
    <x v="4"/>
    <n v="458.98"/>
    <s v="NIE"/>
    <x v="6"/>
    <s v="Canada"/>
    <s v="Kraj zgodny"/>
    <s v="Zamówienie standardowe"/>
  </r>
  <r>
    <n v="146"/>
    <d v="2024-07-06T00:00:00"/>
    <n v="18"/>
    <x v="2"/>
    <n v="6176.39"/>
    <s v="NIE"/>
    <x v="6"/>
    <s v="Spain"/>
    <s v="Kraj zgodny"/>
    <s v="Zamówienie standardowe"/>
  </r>
  <r>
    <n v="147"/>
    <d v="2024-07-08T00:00:00"/>
    <n v="19"/>
    <x v="6"/>
    <n v="5898.99"/>
    <s v="NIE"/>
    <x v="6"/>
    <s v="South Korea"/>
    <s v="Kraj zgodny"/>
    <s v="Zamówienie standardowe"/>
  </r>
  <r>
    <n v="148"/>
    <d v="2024-07-10T00:00:00"/>
    <n v="20"/>
    <x v="3"/>
    <n v="1837.89"/>
    <s v="NIE"/>
    <x v="6"/>
    <s v="UK"/>
    <s v="Kraj zgodny"/>
    <s v="Zamówienie standardowe"/>
  </r>
  <r>
    <n v="149"/>
    <d v="2024-08-02T00:00:00"/>
    <n v="21"/>
    <x v="1"/>
    <n v="5278.4"/>
    <s v="NIE"/>
    <x v="7"/>
    <s v="USA"/>
    <s v="Kraj zgodny"/>
    <s v="Zamówienie standardowe"/>
  </r>
  <r>
    <n v="150"/>
    <d v="2024-08-04T00:00:00"/>
    <n v="22"/>
    <x v="0"/>
    <n v="169.4"/>
    <s v="NIE"/>
    <x v="7"/>
    <s v="Poland"/>
    <s v="Kraj zgodny"/>
    <s v="Zamówienie standardowe"/>
  </r>
  <r>
    <n v="151"/>
    <d v="2024-08-06T00:00:00"/>
    <n v="23"/>
    <x v="2"/>
    <n v="349.6"/>
    <s v="NIE"/>
    <x v="7"/>
    <s v="Spain"/>
    <s v="Kraj zgodny"/>
    <s v="Zamówienie standardowe"/>
  </r>
  <r>
    <n v="152"/>
    <d v="2024-08-08T00:00:00"/>
    <n v="24"/>
    <x v="0"/>
    <n v="201.81"/>
    <s v="TAK"/>
    <x v="7"/>
    <s v="Poland"/>
    <s v="Kraj zgodny"/>
    <s v="Zamówienie z rabatem lub niskiej wartości"/>
  </r>
  <r>
    <n v="153"/>
    <d v="2024-08-10T00:00:00"/>
    <n v="25"/>
    <x v="0"/>
    <n v="523.89"/>
    <s v="NIE"/>
    <x v="7"/>
    <s v="Poland"/>
    <s v="Kraj zgodny"/>
    <s v="Zamówienie standardowe"/>
  </r>
  <r>
    <n v="154"/>
    <d v="2024-08-12T00:00:00"/>
    <n v="26"/>
    <x v="8"/>
    <n v="1159.3900000000001"/>
    <s v="NIE"/>
    <x v="7"/>
    <s v="Germany"/>
    <s v="Kraj zgodny"/>
    <s v="Zamówienie standardowe"/>
  </r>
  <r>
    <n v="155"/>
    <d v="2024-08-14T00:00:00"/>
    <n v="27"/>
    <x v="1"/>
    <n v="408.49"/>
    <s v="NIE"/>
    <x v="7"/>
    <s v="USA"/>
    <s v="Kraj zgodny"/>
    <s v="Zamówienie standardowe"/>
  </r>
  <r>
    <n v="156"/>
    <d v="2024-08-16T00:00:00"/>
    <n v="28"/>
    <x v="1"/>
    <n v="1558.47"/>
    <s v="NIE"/>
    <x v="7"/>
    <s v="USA"/>
    <s v="Kraj zgodny"/>
    <s v="Zamówienie standardowe"/>
  </r>
  <r>
    <n v="157"/>
    <d v="2024-08-18T00:00:00"/>
    <n v="29"/>
    <x v="1"/>
    <n v="207.99"/>
    <s v="NIE"/>
    <x v="7"/>
    <s v="USA"/>
    <s v="Kraj zgodny"/>
    <s v="Zamówienie standardowe"/>
  </r>
  <r>
    <n v="158"/>
    <d v="2024-08-20T00:00:00"/>
    <n v="30"/>
    <x v="9"/>
    <n v="524.89"/>
    <s v="TAK"/>
    <x v="7"/>
    <s v="USA"/>
    <s v="Wysyłka za granicę"/>
    <s v="Zamówienie z rabatem lub niskiej wartości"/>
  </r>
  <r>
    <n v="159"/>
    <d v="2024-09-01T00:00:00"/>
    <n v="31"/>
    <x v="0"/>
    <n v="119.88"/>
    <s v="NIE"/>
    <x v="8"/>
    <s v="Italy"/>
    <s v="Wysyłka za granicę"/>
    <s v="Zamówienie standardowe"/>
  </r>
  <r>
    <n v="160"/>
    <d v="2024-09-03T00:00:00"/>
    <n v="32"/>
    <x v="0"/>
    <n v="7697.5"/>
    <s v="NIE"/>
    <x v="8"/>
    <s v="USA"/>
    <s v="Wysyłka za granicę"/>
    <s v="Zamówienie standardowe"/>
  </r>
  <r>
    <n v="161"/>
    <d v="2024-09-05T00:00:00"/>
    <n v="33"/>
    <x v="10"/>
    <n v="234.7"/>
    <s v="NIE"/>
    <x v="8"/>
    <s v="Poland"/>
    <s v="Wysyłka za granicę"/>
    <s v="Zamówienie standardowe"/>
  </r>
  <r>
    <n v="162"/>
    <d v="2024-09-07T00:00:00"/>
    <n v="34"/>
    <x v="10"/>
    <n v="259.27999999999997"/>
    <s v="NIE"/>
    <x v="8"/>
    <s v="Poland"/>
    <s v="Wysyłka za granicę"/>
    <s v="Zamówienie standardowe"/>
  </r>
  <r>
    <n v="163"/>
    <d v="2024-09-09T00:00:00"/>
    <n v="35"/>
    <x v="0"/>
    <n v="179.49"/>
    <s v="NIE"/>
    <x v="8"/>
    <s v="Ukraine"/>
    <s v="Wysyłka za granicę"/>
    <s v="Zamówienie standardowe"/>
  </r>
  <r>
    <n v="164"/>
    <d v="2024-09-11T00:00:00"/>
    <n v="36"/>
    <x v="0"/>
    <n v="1358.89"/>
    <s v="NIE"/>
    <x v="8"/>
    <s v="Russia"/>
    <s v="Wysyłka za granicę"/>
    <s v="Zamówienie standardowe"/>
  </r>
  <r>
    <n v="165"/>
    <d v="2024-09-13T00:00:00"/>
    <n v="37"/>
    <x v="3"/>
    <n v="3438.98"/>
    <s v="NIE"/>
    <x v="8"/>
    <s v="Japan"/>
    <s v="Wysyłka za granicę"/>
    <s v="Zamówienie standardowe"/>
  </r>
  <r>
    <n v="166"/>
    <d v="2024-09-15T00:00:00"/>
    <n v="38"/>
    <x v="11"/>
    <n v="573.88"/>
    <s v="NIE"/>
    <x v="8"/>
    <s v="UAE"/>
    <s v="Wysyłka za granicę"/>
    <s v="Zamówienie standardowe"/>
  </r>
  <r>
    <n v="167"/>
    <d v="2024-09-17T00:00:00"/>
    <n v="39"/>
    <x v="12"/>
    <n v="497.99"/>
    <s v="NIE"/>
    <x v="8"/>
    <s v="China"/>
    <s v="Wysyłka za granicę"/>
    <s v="Zamówienie standardowe"/>
  </r>
  <r>
    <n v="168"/>
    <d v="2024-09-19T00:00:00"/>
    <n v="40"/>
    <x v="0"/>
    <n v="139.79"/>
    <s v="NIE"/>
    <x v="8"/>
    <s v="India"/>
    <s v="Wysyłka za granicę"/>
    <s v="Zamówienie standardowe"/>
  </r>
  <r>
    <n v="169"/>
    <d v="2024-10-01T00:00:00"/>
    <n v="1"/>
    <x v="0"/>
    <n v="492.9"/>
    <s v="NIE"/>
    <x v="9"/>
    <s v="Poland"/>
    <s v="Kraj zgodny"/>
    <s v="Zamówienie standardowe"/>
  </r>
  <r>
    <n v="170"/>
    <d v="2024-10-03T00:00:00"/>
    <n v="2"/>
    <x v="0"/>
    <n v="747.5"/>
    <s v="NIE"/>
    <x v="9"/>
    <s v="Poland"/>
    <s v="Kraj zgodny"/>
    <s v="Zamówienie standardowe"/>
  </r>
  <r>
    <n v="171"/>
    <d v="2024-10-05T00:00:00"/>
    <n v="3"/>
    <x v="1"/>
    <n v="1099.49"/>
    <s v="NIE"/>
    <x v="9"/>
    <s v="USA"/>
    <s v="Kraj zgodny"/>
    <s v="Zamówienie standardowe"/>
  </r>
  <r>
    <n v="172"/>
    <d v="2024-10-07T00:00:00"/>
    <n v="4"/>
    <x v="1"/>
    <n v="5887.8"/>
    <s v="NIE"/>
    <x v="9"/>
    <s v="USA"/>
    <s v="Kraj zgodny"/>
    <s v="Zamówienie standardowe"/>
  </r>
  <r>
    <n v="173"/>
    <d v="2024-10-09T00:00:00"/>
    <n v="5"/>
    <x v="2"/>
    <n v="5128.99"/>
    <s v="NIE"/>
    <x v="9"/>
    <s v="Spain"/>
    <s v="Kraj zgodny"/>
    <s v="Zamówienie standardowe"/>
  </r>
  <r>
    <n v="174"/>
    <d v="2024-10-11T00:00:00"/>
    <n v="6"/>
    <x v="3"/>
    <n v="513.9"/>
    <s v="NIE"/>
    <x v="9"/>
    <s v="UK"/>
    <s v="Kraj zgodny"/>
    <s v="Zamówienie standardowe"/>
  </r>
  <r>
    <n v="175"/>
    <d v="2024-10-13T00:00:00"/>
    <n v="7"/>
    <x v="4"/>
    <n v="50.99"/>
    <s v="NIE"/>
    <x v="9"/>
    <s v="Canada"/>
    <s v="Kraj zgodny"/>
    <s v="Zamówienie z rabatem lub niskiej wartości"/>
  </r>
  <r>
    <n v="176"/>
    <d v="2024-10-15T00:00:00"/>
    <n v="8"/>
    <x v="0"/>
    <n v="5328.99"/>
    <s v="NIE"/>
    <x v="9"/>
    <s v="Poland"/>
    <s v="Kraj zgodny"/>
    <s v="Zamówienie standardowe"/>
  </r>
  <r>
    <n v="177"/>
    <d v="2024-10-17T00:00:00"/>
    <n v="9"/>
    <x v="0"/>
    <n v="108.5"/>
    <s v="NIE"/>
    <x v="9"/>
    <s v="Poland"/>
    <s v="Kraj zgodny"/>
    <s v="Zamówienie standardowe"/>
  </r>
  <r>
    <n v="178"/>
    <d v="2024-10-19T00:00:00"/>
    <n v="10"/>
    <x v="2"/>
    <n v="978.99"/>
    <s v="NIE"/>
    <x v="9"/>
    <s v="Spain"/>
    <s v="Kraj zgodny"/>
    <s v="Zamówienie standardowe"/>
  </r>
  <r>
    <n v="179"/>
    <d v="2024-11-05T00:00:00"/>
    <n v="11"/>
    <x v="7"/>
    <n v="1207.49"/>
    <s v="NIE"/>
    <x v="10"/>
    <s v="Portugal"/>
    <s v="Kraj zgodny"/>
    <s v="Zamówienie standardowe"/>
  </r>
  <r>
    <n v="180"/>
    <d v="2024-11-08T00:00:00"/>
    <n v="12"/>
    <x v="1"/>
    <n v="89.5"/>
    <s v="NIE"/>
    <x v="10"/>
    <s v="USA"/>
    <s v="Kraj zgodny"/>
    <s v="Zamówienie z rabatem lub niskiej wartości"/>
  </r>
  <r>
    <n v="181"/>
    <d v="2024-11-11T00:00:00"/>
    <n v="13"/>
    <x v="3"/>
    <n v="2314.1799999999998"/>
    <s v="TAK"/>
    <x v="10"/>
    <s v="UK"/>
    <s v="Kraj zgodny"/>
    <s v="Zamówienie z rabatem lub niskiej wartości"/>
  </r>
  <r>
    <n v="182"/>
    <d v="2024-11-15T00:00:00"/>
    <n v="14"/>
    <x v="3"/>
    <n v="5036.2"/>
    <s v="TAK"/>
    <x v="10"/>
    <s v="UK"/>
    <s v="Kraj zgodny"/>
    <s v="Zamówienie z rabatem lub niskiej wartości"/>
  </r>
  <r>
    <n v="183"/>
    <d v="2024-11-20T00:00:00"/>
    <n v="15"/>
    <x v="1"/>
    <n v="339.15"/>
    <s v="TAK"/>
    <x v="10"/>
    <s v="USA"/>
    <s v="Kraj zgodny"/>
    <s v="Zamówienie z rabatem lub niskiej wartości"/>
  </r>
  <r>
    <n v="184"/>
    <d v="2024-12-02T00:00:00"/>
    <n v="16"/>
    <x v="5"/>
    <n v="2707.98"/>
    <s v="NIE"/>
    <x v="11"/>
    <s v="France"/>
    <s v="Kraj zgodny"/>
    <s v="Zamówienie standardowe"/>
  </r>
  <r>
    <n v="185"/>
    <d v="2024-12-05T00:00:00"/>
    <n v="17"/>
    <x v="4"/>
    <n v="547.9"/>
    <s v="NIE"/>
    <x v="11"/>
    <s v="Canada"/>
    <s v="Kraj zgodny"/>
    <s v="Zamówienie standardowe"/>
  </r>
  <r>
    <n v="186"/>
    <d v="2024-12-08T00:00:00"/>
    <n v="18"/>
    <x v="2"/>
    <n v="458.89"/>
    <s v="NIE"/>
    <x v="11"/>
    <s v="Spain"/>
    <s v="Kraj zgodny"/>
    <s v="Zamówienie standardowe"/>
  </r>
  <r>
    <n v="187"/>
    <d v="2024-12-12T00:00:00"/>
    <n v="19"/>
    <x v="6"/>
    <n v="1346.5"/>
    <s v="NIE"/>
    <x v="11"/>
    <s v="South Korea"/>
    <s v="Kraj zgodny"/>
    <s v="Zamówienie standardowe"/>
  </r>
  <r>
    <n v="188"/>
    <d v="2024-12-18T00:00:00"/>
    <n v="20"/>
    <x v="3"/>
    <n v="568.98"/>
    <s v="NIE"/>
    <x v="11"/>
    <s v="UK"/>
    <s v="Kraj zgodny"/>
    <s v="Zamówienie standardowe"/>
  </r>
  <r>
    <n v="189"/>
    <d v="2024-12-20T00:00:00"/>
    <n v="21"/>
    <x v="1"/>
    <n v="406.5"/>
    <s v="NIE"/>
    <x v="11"/>
    <s v="USA"/>
    <s v="Kraj zgodny"/>
    <s v="Zamówienie standardowe"/>
  </r>
  <r>
    <n v="190"/>
    <d v="2024-12-21T00:00:00"/>
    <n v="22"/>
    <x v="0"/>
    <n v="4999"/>
    <s v="NIE"/>
    <x v="11"/>
    <s v="Poland"/>
    <s v="Kraj zgodny"/>
    <s v="Zamówienie standardowe"/>
  </r>
  <r>
    <n v="191"/>
    <d v="2024-12-22T00:00:00"/>
    <n v="23"/>
    <x v="2"/>
    <n v="1448.49"/>
    <s v="NIE"/>
    <x v="11"/>
    <s v="Spain"/>
    <s v="Kraj zgodny"/>
    <s v="Zamówienie standardowe"/>
  </r>
  <r>
    <n v="192"/>
    <d v="2024-12-23T00:00:00"/>
    <n v="24"/>
    <x v="0"/>
    <n v="697.9"/>
    <s v="NIE"/>
    <x v="11"/>
    <s v="Poland"/>
    <s v="Kraj zgodny"/>
    <s v="Zamówienie standardowe"/>
  </r>
  <r>
    <n v="193"/>
    <d v="2024-12-27T00:00:00"/>
    <n v="25"/>
    <x v="0"/>
    <n v="553.79"/>
    <s v="NIE"/>
    <x v="11"/>
    <s v="Poland"/>
    <s v="Kraj zgodny"/>
    <s v="Zamówienie standardowe"/>
  </r>
  <r>
    <n v="194"/>
    <d v="2024-12-28T00:00:00"/>
    <n v="26"/>
    <x v="8"/>
    <n v="89.5"/>
    <s v="NIE"/>
    <x v="11"/>
    <s v="Germany"/>
    <s v="Kraj zgodny"/>
    <s v="Zamówienie z rabatem lub niskiej wartości"/>
  </r>
  <r>
    <n v="195"/>
    <d v="2024-12-28T00:00:00"/>
    <n v="27"/>
    <x v="1"/>
    <n v="528"/>
    <s v="NIE"/>
    <x v="11"/>
    <s v="USA"/>
    <s v="Kraj zgodny"/>
    <s v="Zamówienie standardowe"/>
  </r>
  <r>
    <n v="196"/>
    <d v="2024-12-29T00:00:00"/>
    <n v="28"/>
    <x v="1"/>
    <n v="188.3"/>
    <s v="NIE"/>
    <x v="11"/>
    <s v="USA"/>
    <s v="Kraj zgodny"/>
    <s v="Zamówienie standardowe"/>
  </r>
  <r>
    <n v="197"/>
    <d v="2024-12-29T00:00:00"/>
    <n v="29"/>
    <x v="1"/>
    <n v="506.9"/>
    <s v="NIE"/>
    <x v="11"/>
    <s v="USA"/>
    <s v="Kraj zgodny"/>
    <s v="Zamówienie standardowe"/>
  </r>
  <r>
    <n v="198"/>
    <d v="2024-12-30T00:00:00"/>
    <n v="30"/>
    <x v="9"/>
    <n v="1078.49"/>
    <s v="NIE"/>
    <x v="11"/>
    <s v="USA"/>
    <s v="Wysyłka za granicę"/>
    <s v="Zamówienie standardowe"/>
  </r>
  <r>
    <n v="199"/>
    <d v="2024-12-30T00:00:00"/>
    <n v="31"/>
    <x v="0"/>
    <n v="6327.99"/>
    <s v="NIE"/>
    <x v="11"/>
    <s v="Italy"/>
    <s v="Wysyłka za granicę"/>
    <s v="Zamówienie standardowe"/>
  </r>
  <r>
    <n v="200"/>
    <d v="2024-12-31T00:00:00"/>
    <n v="32"/>
    <x v="0"/>
    <n v="1228.3900000000001"/>
    <s v="NIE"/>
    <x v="11"/>
    <s v="USA"/>
    <s v="Wysyłka za granicę"/>
    <s v="Zamówienie standardow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6"/>
    <s v="UK"/>
    <n v="6"/>
    <n v="21514.95"/>
    <s v="TAK"/>
    <x v="0"/>
  </r>
  <r>
    <n v="4"/>
    <s v="USA"/>
    <n v="5"/>
    <n v="20683.37"/>
    <s v="NIE"/>
    <x v="0"/>
  </r>
  <r>
    <n v="5"/>
    <s v="Spain"/>
    <n v="6"/>
    <n v="19364.11"/>
    <s v="TAK"/>
    <x v="0"/>
  </r>
  <r>
    <n v="8"/>
    <s v="Poland"/>
    <n v="6"/>
    <n v="16341.55"/>
    <s v="NIE"/>
    <x v="0"/>
  </r>
  <r>
    <n v="7"/>
    <s v="Canada"/>
    <n v="6"/>
    <n v="15460.93"/>
    <s v="TAK"/>
    <x v="0"/>
  </r>
  <r>
    <n v="24"/>
    <s v="Poland"/>
    <n v="6"/>
    <n v="12635.58"/>
    <s v="TAK"/>
    <x v="0"/>
  </r>
  <r>
    <n v="16"/>
    <s v="France"/>
    <n v="6"/>
    <n v="12542.61"/>
    <s v="NIE"/>
    <x v="0"/>
  </r>
  <r>
    <n v="31"/>
    <s v="Italy"/>
    <n v="4"/>
    <n v="12384.66"/>
    <s v="NIE"/>
    <x v="1"/>
  </r>
  <r>
    <n v="14"/>
    <s v="UK"/>
    <n v="6"/>
    <n v="11653.36"/>
    <s v="TAK"/>
    <x v="0"/>
  </r>
  <r>
    <n v="32"/>
    <s v="USA"/>
    <n v="4"/>
    <n v="9902.18"/>
    <s v="TAK"/>
    <x v="1"/>
  </r>
  <r>
    <n v="23"/>
    <s v="Spain"/>
    <n v="6"/>
    <n v="8525.74"/>
    <s v="NIE"/>
    <x v="0"/>
  </r>
  <r>
    <n v="15"/>
    <s v="USA"/>
    <n v="6"/>
    <n v="8481.2800000000007"/>
    <s v="TAK"/>
    <x v="0"/>
  </r>
  <r>
    <n v="39"/>
    <s v="China"/>
    <n v="3"/>
    <n v="8421.8700000000008"/>
    <s v="NIE"/>
    <x v="2"/>
  </r>
  <r>
    <n v="19"/>
    <s v="South Korea"/>
    <n v="6"/>
    <n v="8190.58"/>
    <s v="TAK"/>
    <x v="0"/>
  </r>
  <r>
    <n v="21"/>
    <s v="USA"/>
    <n v="6"/>
    <n v="7908.67"/>
    <s v="NIE"/>
    <x v="0"/>
  </r>
  <r>
    <n v="18"/>
    <s v="Spain"/>
    <n v="6"/>
    <n v="7787.46"/>
    <s v="TAK"/>
    <x v="0"/>
  </r>
  <r>
    <n v="3"/>
    <s v="USA"/>
    <n v="6"/>
    <n v="7709.14"/>
    <s v="TAK"/>
    <x v="0"/>
  </r>
  <r>
    <n v="12"/>
    <s v="USA"/>
    <n v="6"/>
    <n v="7581.07"/>
    <s v="TAK"/>
    <x v="0"/>
  </r>
  <r>
    <n v="22"/>
    <s v="Poland"/>
    <n v="6"/>
    <n v="7449.36"/>
    <s v="NIE"/>
    <x v="0"/>
  </r>
  <r>
    <n v="30"/>
    <s v="USA"/>
    <n v="4"/>
    <n v="7365.25"/>
    <s v="TAK"/>
    <x v="1"/>
  </r>
  <r>
    <n v="40"/>
    <s v="India"/>
    <n v="3"/>
    <n v="5761.09"/>
    <s v="NIE"/>
    <x v="2"/>
  </r>
  <r>
    <n v="13"/>
    <s v="UK"/>
    <n v="6"/>
    <n v="5743.36"/>
    <s v="TAK"/>
    <x v="0"/>
  </r>
  <r>
    <n v="20"/>
    <s v="UK"/>
    <n v="6"/>
    <n v="5116.13"/>
    <s v="NIE"/>
    <x v="0"/>
  </r>
  <r>
    <n v="25"/>
    <s v="Poland"/>
    <n v="5"/>
    <n v="4905.96"/>
    <s v="NIE"/>
    <x v="0"/>
  </r>
  <r>
    <n v="37"/>
    <s v="Japan"/>
    <n v="3"/>
    <n v="4836.26"/>
    <s v="NIE"/>
    <x v="2"/>
  </r>
  <r>
    <n v="35"/>
    <s v="Ukraine"/>
    <n v="3"/>
    <n v="4446.3500000000004"/>
    <s v="NIE"/>
    <x v="2"/>
  </r>
  <r>
    <n v="28"/>
    <s v="USA"/>
    <n v="5"/>
    <n v="4152.25"/>
    <s v="NIE"/>
    <x v="0"/>
  </r>
  <r>
    <n v="9"/>
    <s v="Poland"/>
    <n v="6"/>
    <n v="4103.2700000000004"/>
    <s v="TAK"/>
    <x v="0"/>
  </r>
  <r>
    <n v="34"/>
    <s v="Poland"/>
    <n v="3"/>
    <n v="3987.87"/>
    <s v="NIE"/>
    <x v="2"/>
  </r>
  <r>
    <n v="1"/>
    <s v="Poland"/>
    <n v="5"/>
    <n v="3689.56"/>
    <s v="NIE"/>
    <x v="0"/>
  </r>
  <r>
    <n v="10"/>
    <s v="Spain"/>
    <n v="6"/>
    <n v="3562.95"/>
    <s v="NIE"/>
    <x v="0"/>
  </r>
  <r>
    <n v="36"/>
    <s v="Russia"/>
    <n v="3"/>
    <n v="3406.26"/>
    <s v="NIE"/>
    <x v="2"/>
  </r>
  <r>
    <n v="27"/>
    <s v="USA"/>
    <n v="5"/>
    <n v="3352.87"/>
    <s v="NIE"/>
    <x v="0"/>
  </r>
  <r>
    <n v="11"/>
    <s v="Portugal"/>
    <n v="4"/>
    <n v="2962.88"/>
    <s v="NIE"/>
    <x v="1"/>
  </r>
  <r>
    <n v="2"/>
    <s v="Poland"/>
    <n v="5"/>
    <n v="2908.5"/>
    <s v="TAK"/>
    <x v="0"/>
  </r>
  <r>
    <n v="17"/>
    <s v="Canada"/>
    <n v="6"/>
    <n v="2514.96"/>
    <s v="TAK"/>
    <x v="0"/>
  </r>
  <r>
    <n v="26"/>
    <s v="Germany"/>
    <n v="5"/>
    <n v="2335.29"/>
    <s v="NIE"/>
    <x v="0"/>
  </r>
  <r>
    <n v="29"/>
    <s v="USA"/>
    <n v="5"/>
    <n v="1960.87"/>
    <s v="NIE"/>
    <x v="0"/>
  </r>
  <r>
    <n v="38"/>
    <s v="UAE"/>
    <n v="3"/>
    <n v="1221.8499999999999"/>
    <s v="NIE"/>
    <x v="2"/>
  </r>
  <r>
    <n v="33"/>
    <s v="Poland"/>
    <n v="3"/>
    <n v="1107.08"/>
    <s v="NIE"/>
    <x v="2"/>
  </r>
  <r>
    <n v="48"/>
    <s v="Sweden"/>
    <n v="0"/>
    <n v="0"/>
    <s v="NIE"/>
    <x v="3"/>
  </r>
  <r>
    <n v="49"/>
    <s v="Sweden"/>
    <n v="0"/>
    <n v="0"/>
    <s v="NIE"/>
    <x v="3"/>
  </r>
  <r>
    <n v="41"/>
    <s v="UK"/>
    <n v="0"/>
    <n v="0"/>
    <s v="NIE"/>
    <x v="3"/>
  </r>
  <r>
    <n v="42"/>
    <s v="USA"/>
    <n v="0"/>
    <n v="0"/>
    <s v="NIE"/>
    <x v="3"/>
  </r>
  <r>
    <n v="43"/>
    <s v="Poland"/>
    <n v="0"/>
    <n v="0"/>
    <s v="NIE"/>
    <x v="3"/>
  </r>
  <r>
    <n v="44"/>
    <s v="Poland"/>
    <n v="0"/>
    <n v="0"/>
    <s v="NIE"/>
    <x v="3"/>
  </r>
  <r>
    <n v="45"/>
    <s v="Poland"/>
    <n v="0"/>
    <n v="0"/>
    <s v="NIE"/>
    <x v="3"/>
  </r>
  <r>
    <n v="46"/>
    <s v="USA"/>
    <n v="0"/>
    <n v="0"/>
    <s v="NIE"/>
    <x v="3"/>
  </r>
  <r>
    <n v="47"/>
    <s v="UK"/>
    <n v="0"/>
    <n v="0"/>
    <s v="NIE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15"/>
    <x v="0"/>
    <s v="Sports &amp; Outdoors"/>
    <n v="21"/>
    <n v="80634.149999999994"/>
    <s v="TAK"/>
    <s v="Wysoki"/>
  </r>
  <r>
    <n v="4"/>
    <x v="1"/>
    <s v="Electronics"/>
    <n v="17"/>
    <n v="41733.300000000003"/>
    <s v="TAK"/>
    <s v="Wysoki"/>
  </r>
  <r>
    <n v="1"/>
    <x v="2"/>
    <s v="Electronics"/>
    <n v="46"/>
    <n v="40859.550000000003"/>
    <s v="TAK"/>
    <s v="Wysoki"/>
  </r>
  <r>
    <n v="16"/>
    <x v="3"/>
    <s v="Sports &amp; Outdoors"/>
    <n v="9"/>
    <n v="35052.980000000003"/>
    <s v="NIE"/>
    <s v="Wysoki"/>
  </r>
  <r>
    <n v="5"/>
    <x v="4"/>
    <s v="Electronics"/>
    <n v="42"/>
    <n v="29675.360000000001"/>
    <s v="TAK"/>
    <s v="Wysoki"/>
  </r>
  <r>
    <n v="14"/>
    <x v="5"/>
    <s v="Sports &amp; Outdoors"/>
    <n v="34"/>
    <n v="12827.95"/>
    <s v="TAK"/>
    <s v="Wysoki"/>
  </r>
  <r>
    <n v="2"/>
    <x v="6"/>
    <s v="Electronics"/>
    <n v="35"/>
    <n v="6962.55"/>
    <s v="TAK"/>
    <s v="Wysoki"/>
  </r>
  <r>
    <n v="20"/>
    <x v="7"/>
    <s v="Sports &amp; Outdoors"/>
    <n v="12"/>
    <n v="6338"/>
    <s v="NIE"/>
    <s v="Wysoki"/>
  </r>
  <r>
    <n v="6"/>
    <x v="8"/>
    <s v="Electronics"/>
    <n v="20"/>
    <n v="5282.87"/>
    <s v="TAK"/>
    <s v="Wysoki"/>
  </r>
  <r>
    <n v="11"/>
    <x v="9"/>
    <s v="Home &amp; Kitchen"/>
    <n v="47"/>
    <n v="4459.75"/>
    <s v="TAK"/>
    <s v="Średni"/>
  </r>
  <r>
    <n v="7"/>
    <x v="10"/>
    <s v="Electronics"/>
    <n v="21"/>
    <n v="3875.83"/>
    <s v="NIE"/>
    <s v="Średni"/>
  </r>
  <r>
    <n v="10"/>
    <x v="11"/>
    <s v="Home &amp; Kitchen"/>
    <n v="13"/>
    <n v="3092.4"/>
    <s v="NIE"/>
    <s v="Średni"/>
  </r>
  <r>
    <n v="34"/>
    <x v="12"/>
    <s v="Toys"/>
    <n v="11"/>
    <n v="2689"/>
    <s v="NIE"/>
    <s v="Średni"/>
  </r>
  <r>
    <n v="3"/>
    <x v="13"/>
    <s v="Electronics"/>
    <n v="30"/>
    <n v="2639.46"/>
    <s v="TAK"/>
    <s v="Średni"/>
  </r>
  <r>
    <n v="9"/>
    <x v="14"/>
    <s v="Home &amp; Kitchen"/>
    <n v="26"/>
    <n v="2538.15"/>
    <s v="TAK"/>
    <s v="Średni"/>
  </r>
  <r>
    <n v="19"/>
    <x v="15"/>
    <s v="Sports &amp; Outdoors"/>
    <n v="12"/>
    <n v="2388"/>
    <s v="NIE"/>
    <s v="Średni"/>
  </r>
  <r>
    <n v="13"/>
    <x v="16"/>
    <s v="Home &amp; Kitchen"/>
    <n v="11"/>
    <n v="2209.9499999999998"/>
    <s v="TAK"/>
    <s v="Średni"/>
  </r>
  <r>
    <n v="21"/>
    <x v="17"/>
    <s v="Books"/>
    <n v="16"/>
    <n v="1903.26"/>
    <s v="TAK"/>
    <s v="Średni"/>
  </r>
  <r>
    <n v="22"/>
    <x v="18"/>
    <s v="Books"/>
    <n v="32"/>
    <n v="1764.8"/>
    <s v="NIE"/>
    <s v="Średni"/>
  </r>
  <r>
    <n v="8"/>
    <x v="19"/>
    <s v="Home &amp; Kitchen"/>
    <n v="22"/>
    <n v="1749.81"/>
    <s v="TAK"/>
    <s v="Średni"/>
  </r>
  <r>
    <n v="43"/>
    <x v="20"/>
    <s v="Office Supplies"/>
    <n v="2"/>
    <n v="1398"/>
    <s v="NIE"/>
    <s v="Średni"/>
  </r>
  <r>
    <n v="39"/>
    <x v="21"/>
    <s v="Garden"/>
    <n v="4"/>
    <n v="1396"/>
    <s v="NIE"/>
    <s v="Średni"/>
  </r>
  <r>
    <n v="27"/>
    <x v="22"/>
    <s v="Beauty"/>
    <n v="39"/>
    <n v="1288.6300000000001"/>
    <s v="NIE"/>
    <s v="Średni"/>
  </r>
  <r>
    <n v="30"/>
    <x v="23"/>
    <s v="Beauty"/>
    <n v="17"/>
    <n v="1209.3"/>
    <s v="NIE"/>
    <s v="Średni"/>
  </r>
  <r>
    <n v="17"/>
    <x v="24"/>
    <s v="Sports &amp; Outdoors"/>
    <n v="3"/>
    <n v="1197"/>
    <s v="NIE"/>
    <s v="Średni"/>
  </r>
  <r>
    <n v="25"/>
    <x v="25"/>
    <s v="Books"/>
    <n v="17"/>
    <n v="1110.2"/>
    <s v="NIE"/>
    <s v="Średni"/>
  </r>
  <r>
    <n v="31"/>
    <x v="26"/>
    <s v="Beauty"/>
    <n v="18"/>
    <n v="1049.92"/>
    <s v="NIE"/>
    <s v="Średni"/>
  </r>
  <r>
    <n v="12"/>
    <x v="27"/>
    <s v="Home &amp; Kitchen"/>
    <n v="10"/>
    <n v="693"/>
    <s v="NIE"/>
    <s v="Średni"/>
  </r>
  <r>
    <n v="18"/>
    <x v="28"/>
    <s v="Sports &amp; Outdoors"/>
    <n v="2"/>
    <n v="648"/>
    <s v="NIE"/>
    <s v="Średni"/>
  </r>
  <r>
    <n v="29"/>
    <x v="29"/>
    <s v="Beauty"/>
    <n v="5"/>
    <n v="645"/>
    <s v="NIE"/>
    <s v="Średni"/>
  </r>
  <r>
    <n v="36"/>
    <x v="30"/>
    <s v="Toys"/>
    <n v="7"/>
    <n v="623"/>
    <s v="NIE"/>
    <s v="Średni"/>
  </r>
  <r>
    <n v="41"/>
    <x v="31"/>
    <s v="Garden"/>
    <n v="6"/>
    <n v="534"/>
    <s v="NIE"/>
    <s v="Średni"/>
  </r>
  <r>
    <n v="33"/>
    <x v="32"/>
    <s v="Toys"/>
    <n v="22"/>
    <n v="514.83000000000004"/>
    <s v="NIE"/>
    <s v="Średni"/>
  </r>
  <r>
    <n v="42"/>
    <x v="33"/>
    <s v="Garden"/>
    <n v="4"/>
    <n v="476"/>
    <s v="NIE"/>
    <s v="Niski"/>
  </r>
  <r>
    <n v="38"/>
    <x v="34"/>
    <s v="Garden"/>
    <n v="6"/>
    <n v="474"/>
    <s v="NIE"/>
    <s v="Niski"/>
  </r>
  <r>
    <n v="28"/>
    <x v="35"/>
    <s v="Beauty"/>
    <n v="10"/>
    <n v="394.63"/>
    <s v="NIE"/>
    <s v="Niski"/>
  </r>
  <r>
    <n v="35"/>
    <x v="36"/>
    <s v="Toys"/>
    <n v="6"/>
    <n v="359.4"/>
    <s v="NIE"/>
    <s v="Niski"/>
  </r>
  <r>
    <n v="23"/>
    <x v="37"/>
    <s v="Books"/>
    <n v="6"/>
    <n v="299.39999999999998"/>
    <s v="NIE"/>
    <s v="Niski"/>
  </r>
  <r>
    <n v="37"/>
    <x v="38"/>
    <s v="Toys"/>
    <n v="5"/>
    <n v="249.5"/>
    <s v="NIE"/>
    <s v="Niski"/>
  </r>
  <r>
    <n v="24"/>
    <x v="39"/>
    <s v="Books"/>
    <n v="4"/>
    <n v="239.6"/>
    <s v="NIE"/>
    <s v="Niski"/>
  </r>
  <r>
    <n v="40"/>
    <x v="40"/>
    <s v="Garden"/>
    <n v="8"/>
    <n v="239.2"/>
    <s v="NIE"/>
    <s v="Niski"/>
  </r>
  <r>
    <n v="26"/>
    <x v="41"/>
    <s v="Books"/>
    <n v="4"/>
    <n v="139.96"/>
    <s v="NIE"/>
    <s v="Niski"/>
  </r>
  <r>
    <n v="44"/>
    <x v="42"/>
    <s v="Office Supplies"/>
    <n v="4"/>
    <n v="63.96"/>
    <s v="NIE"/>
    <s v="Niski"/>
  </r>
  <r>
    <n v="32"/>
    <x v="43"/>
    <s v="Beauty"/>
    <n v="1"/>
    <n v="29.99"/>
    <s v="NIE"/>
    <s v="Niski"/>
  </r>
  <r>
    <n v="45"/>
    <x v="44"/>
    <s v="Office Supplies"/>
    <n v="3"/>
    <n v="29.7"/>
    <s v="NIE"/>
    <s v="Niski"/>
  </r>
  <r>
    <n v="54"/>
    <x v="45"/>
    <s v="Toys"/>
    <n v="0"/>
    <n v="0"/>
    <s v="NIE"/>
    <s v="Brak sprzedaży"/>
  </r>
  <r>
    <n v="49"/>
    <x v="46"/>
    <s v="Electronics"/>
    <n v="0"/>
    <n v="0"/>
    <s v="NIE"/>
    <s v="Brak sprzedaży"/>
  </r>
  <r>
    <n v="53"/>
    <x v="47"/>
    <s v="Beauty"/>
    <n v="0"/>
    <n v="0"/>
    <s v="NIE"/>
    <s v="Brak sprzedaży"/>
  </r>
  <r>
    <n v="52"/>
    <x v="48"/>
    <s v="Books"/>
    <n v="0"/>
    <n v="0"/>
    <s v="NIE"/>
    <s v="Brak sprzedaży"/>
  </r>
  <r>
    <n v="46"/>
    <x v="49"/>
    <s v="Office Supplies"/>
    <n v="0"/>
    <n v="0"/>
    <s v="NIE"/>
    <s v="Brak sprzedaży"/>
  </r>
  <r>
    <n v="51"/>
    <x v="50"/>
    <s v="Sports &amp; Outdoors"/>
    <n v="0"/>
    <n v="0"/>
    <s v="NIE"/>
    <s v="Brak sprzedaży"/>
  </r>
  <r>
    <n v="50"/>
    <x v="51"/>
    <s v="Home &amp; Kitchen"/>
    <n v="0"/>
    <n v="0"/>
    <s v="NIE"/>
    <s v="Brak sprzedaży"/>
  </r>
  <r>
    <n v="47"/>
    <x v="52"/>
    <s v="Office Supplies"/>
    <n v="0"/>
    <n v="0"/>
    <s v="NIE"/>
    <s v="Brak sprzedaży"/>
  </r>
  <r>
    <n v="48"/>
    <x v="53"/>
    <s v="Office Supplies"/>
    <n v="0"/>
    <n v="0"/>
    <s v="NIE"/>
    <s v="Brak sprzedaż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E7191A-CB8C-47B2-9549-2DAA7253A2D7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9">
  <location ref="F2:G16" firstHeaderRow="1" firstDataRow="1" firstDataCol="1"/>
  <pivotFields count="10">
    <pivotField numFmtId="1" showAll="0"/>
    <pivotField numFmtId="14" showAll="0"/>
    <pivotField numFmtId="1" showAll="0"/>
    <pivotField axis="axisRow" showAll="0" sortType="descending">
      <items count="14">
        <item x="1"/>
        <item x="3"/>
        <item x="10"/>
        <item x="2"/>
        <item x="6"/>
        <item x="7"/>
        <item x="0"/>
        <item x="9"/>
        <item x="12"/>
        <item x="8"/>
        <item x="5"/>
        <item x="1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showAll="0"/>
    <pivotField showAll="0"/>
    <pivotField showAll="0"/>
    <pivotField showAll="0"/>
    <pivotField showAll="0"/>
  </pivotFields>
  <rowFields count="1">
    <field x="3"/>
  </rowFields>
  <rowItems count="14">
    <i>
      <x v="6"/>
    </i>
    <i>
      <x/>
    </i>
    <i>
      <x v="1"/>
    </i>
    <i>
      <x v="3"/>
    </i>
    <i>
      <x v="12"/>
    </i>
    <i>
      <x v="10"/>
    </i>
    <i>
      <x v="8"/>
    </i>
    <i>
      <x v="4"/>
    </i>
    <i>
      <x v="7"/>
    </i>
    <i>
      <x v="2"/>
    </i>
    <i>
      <x v="5"/>
    </i>
    <i>
      <x v="9"/>
    </i>
    <i>
      <x v="11"/>
    </i>
    <i t="grand">
      <x/>
    </i>
  </rowItems>
  <colItems count="1">
    <i/>
  </colItems>
  <dataFields count="1">
    <dataField name="Suma z order_value" fld="4" baseField="0" baseItem="0" numFmtId="4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DD6C5-6A1F-4DDF-881F-F93ED9EB1B7C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B2:C15" firstHeaderRow="1" firstDataRow="1" firstDataCol="1"/>
  <pivotFields count="10">
    <pivotField numFmtId="1" showAll="0"/>
    <pivotField numFmtId="14" showAll="0"/>
    <pivotField numFmtId="1" showAll="0"/>
    <pivotField showAll="0"/>
    <pivotField dataField="1" numFmtId="2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z order_value" fld="4" baseField="0" baseItem="0" numFmtId="4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6" type="button" dataOnly="0" labelOnly="1" outline="0" axis="axisRow" fieldPosition="0"/>
    </format>
    <format dxfId="20">
      <pivotArea dataOnly="0" labelOnly="1" fieldPosition="0">
        <references count="1">
          <reference field="6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6" type="button" dataOnly="0" labelOnly="1" outline="0" axis="axisRow" fieldPosition="0"/>
    </format>
    <format dxfId="14">
      <pivotArea dataOnly="0" labelOnly="1" fieldPosition="0">
        <references count="1">
          <reference field="6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8E894-AD00-4BD4-A314-83C7CD23E526}" name="Tabela przestawna4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6">
  <location ref="N2:O13" firstHeaderRow="1" firstDataRow="1" firstDataCol="1"/>
  <pivotFields count="7">
    <pivotField numFmtId="1" showAll="0"/>
    <pivotField axis="axisRow" showAll="0" measureFilter="1" sortType="descending">
      <items count="55">
        <item x="1"/>
        <item x="11"/>
        <item x="51"/>
        <item x="44"/>
        <item x="39"/>
        <item x="14"/>
        <item x="13"/>
        <item x="30"/>
        <item x="50"/>
        <item x="27"/>
        <item x="18"/>
        <item x="25"/>
        <item x="49"/>
        <item x="38"/>
        <item x="21"/>
        <item x="19"/>
        <item x="9"/>
        <item x="22"/>
        <item x="37"/>
        <item x="15"/>
        <item x="40"/>
        <item x="4"/>
        <item x="31"/>
        <item x="34"/>
        <item x="23"/>
        <item x="47"/>
        <item x="28"/>
        <item x="35"/>
        <item x="0"/>
        <item x="41"/>
        <item x="26"/>
        <item x="42"/>
        <item x="17"/>
        <item x="20"/>
        <item x="53"/>
        <item x="52"/>
        <item x="43"/>
        <item x="36"/>
        <item x="8"/>
        <item x="3"/>
        <item x="32"/>
        <item x="12"/>
        <item x="48"/>
        <item x="24"/>
        <item x="2"/>
        <item x="10"/>
        <item x="33"/>
        <item x="16"/>
        <item x="7"/>
        <item x="45"/>
        <item x="29"/>
        <item x="46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dataField="1" numFmtId="2" showAll="0"/>
    <pivotField showAll="0"/>
    <pivotField showAll="0"/>
  </pivotFields>
  <rowFields count="1">
    <field x="1"/>
  </rowFields>
  <rowItems count="11">
    <i>
      <x v="28"/>
    </i>
    <i>
      <x/>
    </i>
    <i>
      <x v="44"/>
    </i>
    <i>
      <x v="39"/>
    </i>
    <i>
      <x v="21"/>
    </i>
    <i>
      <x v="53"/>
    </i>
    <i>
      <x v="52"/>
    </i>
    <i>
      <x v="48"/>
    </i>
    <i>
      <x v="38"/>
    </i>
    <i>
      <x v="16"/>
    </i>
    <i t="grand">
      <x/>
    </i>
  </rowItems>
  <colItems count="1">
    <i/>
  </colItems>
  <dataFields count="1">
    <dataField name="Suma z total_revenue" fld="4" baseField="0" baseItem="0" numFmtId="4"/>
  </dataFields>
  <formats count="14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3">
      <pivotArea dataOnly="0" labelOnly="1" fieldPosition="0">
        <references count="1">
          <reference field="1" count="4">
            <x v="50"/>
            <x v="51"/>
            <x v="52"/>
            <x v="53"/>
          </reference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30">
      <pivotArea outline="0" fieldPosition="0">
        <references count="1">
          <reference field="4294967294" count="1">
            <x v="0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10">
            <x v="0"/>
            <x v="16"/>
            <x v="21"/>
            <x v="28"/>
            <x v="38"/>
            <x v="39"/>
            <x v="44"/>
            <x v="48"/>
            <x v="52"/>
            <x v="53"/>
          </reference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C8B9AC-44D0-4867-A18E-B89758CAAD36}" name="Tabela przestawna3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4">
  <location ref="J2:K7" firstHeaderRow="1" firstDataRow="1" firstDataCol="1"/>
  <pivotFields count="6">
    <pivotField showAll="0"/>
    <pivotField showAll="0"/>
    <pivotField numFmtId="1" showAll="0"/>
    <pivotField dataField="1" numFmtId="2" showAll="0"/>
    <pivotField showAll="0"/>
    <pivotField axis="axisRow" showAll="0">
      <items count="5">
        <item x="3"/>
        <item x="2"/>
        <item x="1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z total_revenue" fld="3" baseField="0" baseItem="0" numFmtId="4"/>
  </dataFields>
  <formats count="13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5" type="button" dataOnly="0" labelOnly="1" outline="0" axis="axisRow" fieldPosition="0"/>
    </format>
    <format dxfId="47">
      <pivotArea dataOnly="0" labelOnly="1" fieldPosition="0">
        <references count="1">
          <reference field="5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  <format dxfId="44">
      <pivotArea outline="0" fieldPosition="0">
        <references count="1">
          <reference field="4294967294" count="1">
            <x v="0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5" type="button" dataOnly="0" labelOnly="1" outline="0" axis="axisRow" fieldPosition="0"/>
    </format>
    <format dxfId="40">
      <pivotArea dataOnly="0" labelOnly="1" fieldPosition="0">
        <references count="1">
          <reference field="5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</formats>
  <chartFormats count="2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2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2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0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0" format="4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0" format="4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0" format="5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3" format="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3" format="5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3" format="5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3" format="6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E68E4F6-AEB5-4E88-BF8A-F4CF0BF1132D}" autoFormatId="16" applyNumberFormats="0" applyBorderFormats="0" applyFontFormats="0" applyPatternFormats="0" applyAlignmentFormats="0" applyWidthHeightFormats="0">
  <queryTableRefresh nextId="7">
    <queryTableFields count="6">
      <queryTableField id="1" name="order_id" tableColumnId="1"/>
      <queryTableField id="2" name="order_date" tableColumnId="2"/>
      <queryTableField id="3" name="customer_id" tableColumnId="3"/>
      <queryTableField id="4" name="ship_country" tableColumnId="4"/>
      <queryTableField id="5" name="order_value" tableColumnId="5"/>
      <queryTableField id="6" name="has_discoun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265D01D-1550-4090-93B3-6EB58675F6D1}" autoFormatId="16" applyNumberFormats="0" applyBorderFormats="0" applyFontFormats="0" applyPatternFormats="0" applyAlignmentFormats="0" applyWidthHeightFormats="0">
  <queryTableRefresh nextId="6">
    <queryTableFields count="5">
      <queryTableField id="1" name="customer_id" tableColumnId="1"/>
      <queryTableField id="2" name="country" tableColumnId="2"/>
      <queryTableField id="3" name="orders_count" tableColumnId="3"/>
      <queryTableField id="4" name="total_revenue" tableColumnId="4"/>
      <queryTableField id="5" name="used_discoun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C002BC2-B002-45BB-812E-A2DECCDB0EA5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category_name" tableColumnId="3"/>
      <queryTableField id="4" name="total_quantity" tableColumnId="4"/>
      <queryTableField id="5" name="total_revenue" tableColumnId="5"/>
      <queryTableField id="6" name="has_discou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9C3770-559C-4AE7-963E-8DE20F2F5D0B}" name="tabela_zamowienia" displayName="tabela_zamowienia" ref="A2:F186" tableType="queryTable" totalsRowShown="0" headerRowDxfId="107" dataDxfId="106">
  <autoFilter ref="A2:F186" xr:uid="{F19C3770-559C-4AE7-963E-8DE20F2F5D0B}"/>
  <tableColumns count="6">
    <tableColumn id="1" xr3:uid="{8889C42C-AFD5-4D24-92CB-D7C817FC5C2A}" uniqueName="1" name="order_id" queryTableFieldId="1" dataDxfId="105"/>
    <tableColumn id="2" xr3:uid="{71826F68-64A4-4FFF-8793-EDFA032236BF}" uniqueName="2" name="order_date" queryTableFieldId="2" dataDxfId="104"/>
    <tableColumn id="3" xr3:uid="{3D267A3D-2DE6-478D-A50D-2EDBF635731B}" uniqueName="3" name="customer_id" queryTableFieldId="3" dataDxfId="103"/>
    <tableColumn id="4" xr3:uid="{F22F7B1A-FCF8-46F9-88C5-DB52D9309180}" uniqueName="4" name="ship_country" queryTableFieldId="4" dataDxfId="102"/>
    <tableColumn id="5" xr3:uid="{28D52F94-42E7-49E1-A6B3-DBC43702BCAA}" uniqueName="5" name="order_value" queryTableFieldId="5" dataDxfId="101"/>
    <tableColumn id="6" xr3:uid="{5A534147-27B8-408D-96FA-F27A08563A04}" uniqueName="6" name="has_discount" queryTableFieldId="6" dataDxfId="10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2C14FD-E7DD-41E8-9B07-4F76EF9BFA70}" name="tabela_klienci" displayName="tabela_klienci" ref="A189:E238" tableType="queryTable" totalsRowShown="0" headerRowDxfId="99" dataDxfId="98">
  <autoFilter ref="A189:E238" xr:uid="{A22C14FD-E7DD-41E8-9B07-4F76EF9BFA70}"/>
  <tableColumns count="5">
    <tableColumn id="1" xr3:uid="{C18A4F29-4B40-4923-9A09-FC7310B452CC}" uniqueName="1" name="customer_id" queryTableFieldId="1" dataDxfId="97"/>
    <tableColumn id="2" xr3:uid="{590D15EE-B318-42AC-A905-E92F7B603155}" uniqueName="2" name="country" queryTableFieldId="2" dataDxfId="96"/>
    <tableColumn id="3" xr3:uid="{2A2B8017-7AA6-43CD-80D5-546C0FFB1323}" uniqueName="3" name="orders_count" queryTableFieldId="3" dataDxfId="95"/>
    <tableColumn id="4" xr3:uid="{76AC2CCE-471C-4516-9F96-3F374C77819E}" uniqueName="4" name="total_revenue" queryTableFieldId="4" dataDxfId="94"/>
    <tableColumn id="5" xr3:uid="{52BACE7F-FA17-467A-BFDB-D1FCA48BA58D}" uniqueName="5" name="used_discount" queryTableFieldId="5" dataDxfId="9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A167C5-57B6-449B-ADEB-A8A9255C6249}" name="tabela_produkty" displayName="tabela_produkty" ref="A241:F295" tableType="queryTable" totalsRowShown="0" headerRowDxfId="92" dataDxfId="91">
  <autoFilter ref="A241:F295" xr:uid="{D8A167C5-57B6-449B-ADEB-A8A9255C6249}"/>
  <tableColumns count="6">
    <tableColumn id="1" xr3:uid="{7A485042-B822-4DF6-8320-5A4535A9CCC0}" uniqueName="1" name="product_id" queryTableFieldId="1" dataDxfId="90"/>
    <tableColumn id="2" xr3:uid="{0BAC7950-06BA-43B3-B822-F1FAE6B17C2D}" uniqueName="2" name="product_name" queryTableFieldId="2" dataDxfId="89"/>
    <tableColumn id="3" xr3:uid="{23FAE24F-93F4-4A7B-9906-BE107D6BF8E0}" uniqueName="3" name="category_name" queryTableFieldId="3" dataDxfId="88"/>
    <tableColumn id="4" xr3:uid="{D9A3E423-D971-4753-8417-EE57074FB391}" uniqueName="4" name="total_quantity" queryTableFieldId="4" dataDxfId="87"/>
    <tableColumn id="5" xr3:uid="{D6D03FDF-5A12-4BC2-AF15-C9E3C0C1213A}" uniqueName="5" name="total_revenue" queryTableFieldId="5" dataDxfId="86"/>
    <tableColumn id="6" xr3:uid="{CDA6230E-7082-4319-9DD8-048377DAAAC7}" uniqueName="6" name="has_discount" queryTableFieldId="6" dataDxfId="8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B7A630-5D13-4FA4-B685-FE501DFFB201}" name="tabela_zamowienia_rozszerzona" displayName="tabela_zamowienia_rozszerzona" ref="A2:J186" totalsRowShown="0" headerRowDxfId="84" dataDxfId="82" headerRowBorderDxfId="83" tableBorderDxfId="81" totalsRowBorderDxfId="80">
  <autoFilter ref="A2:J186" xr:uid="{EBB7A630-5D13-4FA4-B685-FE501DFFB201}"/>
  <tableColumns count="10">
    <tableColumn id="1" xr3:uid="{01AFB28E-59CE-4D59-8516-3A400D24C5D5}" name="order_id" dataDxfId="79">
      <calculatedColumnFormula>tabela_zamowienia[[#This Row],[order_id]]</calculatedColumnFormula>
    </tableColumn>
    <tableColumn id="2" xr3:uid="{C370B99B-F861-4A37-9831-D672368CD053}" name="order_date" dataDxfId="78">
      <calculatedColumnFormula>tabela_zamowienia[[#This Row],[order_date]]</calculatedColumnFormula>
    </tableColumn>
    <tableColumn id="3" xr3:uid="{26DCE684-064F-4E05-A2C6-A8186438ABD6}" name="customer_id" dataDxfId="77">
      <calculatedColumnFormula>tabela_zamowienia[[#This Row],[customer_id]]</calculatedColumnFormula>
    </tableColumn>
    <tableColumn id="4" xr3:uid="{26E2D69D-39B8-41CA-9A37-30F872237B01}" name="ship_country" dataDxfId="76">
      <calculatedColumnFormula>tabela_zamowienia[[#This Row],[ship_country]]</calculatedColumnFormula>
    </tableColumn>
    <tableColumn id="5" xr3:uid="{0B8EDBC7-AD4E-4F10-B121-0AFEA58EB224}" name="order_value" dataDxfId="75">
      <calculatedColumnFormula>tabela_zamowienia[[#This Row],[order_value]]</calculatedColumnFormula>
    </tableColumn>
    <tableColumn id="6" xr3:uid="{508D0D9C-4BFC-41CB-B07D-AC2B8CE76FB9}" name="has_discount" dataDxfId="74">
      <calculatedColumnFormula>tabela_zamowienia[[#This Row],[has_discount]]</calculatedColumnFormula>
    </tableColumn>
    <tableColumn id="7" xr3:uid="{FC065C1B-4620-4EF6-99DB-5E9A8FEC4191}" name="order_month" dataDxfId="73">
      <calculatedColumnFormula>TEXT(B3,"RRRR-MM")</calculatedColumnFormula>
    </tableColumn>
    <tableColumn id="8" xr3:uid="{317852DE-5AF8-4FB6-AEF7-1805ABE804E5}" name="customer_country" dataDxfId="72">
      <calculatedColumnFormula>VLOOKUP(C3,tabela_klienci[[customer_id]:[country]],2,0)</calculatedColumnFormula>
    </tableColumn>
    <tableColumn id="9" xr3:uid="{8DA9EBC9-3D04-4EB2-B6A7-22048172A474}" name="cross_border" dataDxfId="71">
      <calculatedColumnFormula>IF(D3=H3,"Kraj zgodny","Wysyłka za granicę")</calculatedColumnFormula>
    </tableColumn>
    <tableColumn id="10" xr3:uid="{54CA0E28-6512-4196-96B4-519C345AFFB2}" name="discount_flag" dataDxfId="70">
      <calculatedColumnFormula>IF(OR(F3="TAK",E3&lt;100),"Zamówienie z rabatem lub niskiej wartości","Zamówienie standardowe")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3EB7D7-B44A-4E3A-9DFF-45FD28D2DCC9}" name="tabela_klienci_rozszerzona" displayName="tabela_klienci_rozszerzona" ref="A189:F238" totalsRowShown="0" headerRowBorderDxfId="69" tableBorderDxfId="68" totalsRowBorderDxfId="67">
  <autoFilter ref="A189:F238" xr:uid="{073EB7D7-B44A-4E3A-9DFF-45FD28D2DCC9}"/>
  <tableColumns count="6">
    <tableColumn id="1" xr3:uid="{18F0F8F0-7E63-4DE5-B678-2E383EA09F3F}" name="customer_id" dataDxfId="66">
      <calculatedColumnFormula>tabela_klienci[[#This Row],[customer_id]]</calculatedColumnFormula>
    </tableColumn>
    <tableColumn id="2" xr3:uid="{23D13496-BB8F-4667-8068-26DF6D4AD60F}" name="country" dataDxfId="65">
      <calculatedColumnFormula>tabela_klienci[[#This Row],[country]]</calculatedColumnFormula>
    </tableColumn>
    <tableColumn id="3" xr3:uid="{319AFB9A-9470-4BE8-B573-3C09D992CDBD}" name="orders_count" dataDxfId="64">
      <calculatedColumnFormula>tabela_klienci[[#This Row],[orders_count]]</calculatedColumnFormula>
    </tableColumn>
    <tableColumn id="4" xr3:uid="{639DBC72-1292-4C2D-B9A8-80F08D0AB809}" name="total_revenue" dataDxfId="63">
      <calculatedColumnFormula>tabela_klienci[[#This Row],[total_revenue]]</calculatedColumnFormula>
    </tableColumn>
    <tableColumn id="5" xr3:uid="{704CED17-9656-4AE9-9FD9-00477E78B75A}" name="used_discount" dataDxfId="62">
      <calculatedColumnFormula>tabela_klienci[[#This Row],[used_discount]]</calculatedColumnFormula>
    </tableColumn>
    <tableColumn id="6" xr3:uid="{00B49C0E-0627-40F5-BBE4-FC5E357DC1A1}" name="segment" dataDxfId="61">
      <calculatedColumnFormula array="1">_xlfn.IFS(C190=0,"Nieaktywny",C190&lt;=3,"Niski",C190&lt;=4,"Średni",C190&gt;4,"Wysoki")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A57F9C7-0081-4130-82A9-2DAE4CF903FA}" name="tabela_produkty_rozszerzona" displayName="tabela_produkty_rozszerzona" ref="A241:G295" totalsRowShown="0" headerRowBorderDxfId="60" tableBorderDxfId="59" totalsRowBorderDxfId="58">
  <autoFilter ref="A241:G295" xr:uid="{9A57F9C7-0081-4130-82A9-2DAE4CF903FA}"/>
  <tableColumns count="7">
    <tableColumn id="1" xr3:uid="{7D8B1442-1A70-4C52-B914-667FEC0DC8D0}" name="product_id" dataDxfId="57">
      <calculatedColumnFormula>tabela_produkty[[#This Row],[product_id]]</calculatedColumnFormula>
    </tableColumn>
    <tableColumn id="2" xr3:uid="{2D255E07-B397-40EF-8CF4-F3A96668588A}" name="product_name" dataDxfId="56">
      <calculatedColumnFormula>tabela_produkty[[#This Row],[product_name]]</calculatedColumnFormula>
    </tableColumn>
    <tableColumn id="3" xr3:uid="{2A57291B-8340-4E7A-8C4F-B9D5E4F3FCD0}" name="category_name" dataDxfId="55">
      <calculatedColumnFormula>tabela_produkty[[#This Row],[category_name]]</calculatedColumnFormula>
    </tableColumn>
    <tableColumn id="4" xr3:uid="{C6536035-E4A1-4277-A039-A54EB3A830FC}" name="total_quantity" dataDxfId="54">
      <calculatedColumnFormula>tabela_produkty[[#This Row],[total_quantity]]</calculatedColumnFormula>
    </tableColumn>
    <tableColumn id="5" xr3:uid="{3A04B946-AD34-4D4C-8929-E202E6D881B9}" name="total_revenue" dataDxfId="53">
      <calculatedColumnFormula>tabela_produkty[[#This Row],[total_revenue]]</calculatedColumnFormula>
    </tableColumn>
    <tableColumn id="6" xr3:uid="{3C538D63-33A2-4B0E-85E9-B05540AAF07C}" name="has_discount" dataDxfId="52">
      <calculatedColumnFormula>tabela_produkty[[#This Row],[has_discount]]</calculatedColumnFormula>
    </tableColumn>
    <tableColumn id="7" xr3:uid="{D37C1C18-E246-4C77-ABFF-376C67D9033F}" name="revenue_category" dataDxfId="51">
      <calculatedColumnFormula array="1">_xlfn.IFS(E242=0,"Brak sprzedaży",E242&lt;=500,"Niski",E242&lt;=5000,"Średni",E242&gt;5000,"Wysoki")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C8BB1-C64E-43F4-B9FB-4222B35FE7A0}">
  <sheetPr>
    <tabColor theme="5" tint="-0.499984740745262"/>
  </sheetPr>
  <dimension ref="A1:G19"/>
  <sheetViews>
    <sheetView showGridLines="0" showRowColHeaders="0" workbookViewId="0">
      <selection activeCell="D22" sqref="D22"/>
    </sheetView>
  </sheetViews>
  <sheetFormatPr defaultRowHeight="15" x14ac:dyDescent="0.25"/>
  <cols>
    <col min="1" max="2" width="18.7109375" customWidth="1"/>
    <col min="3" max="3" width="3.7109375" customWidth="1"/>
    <col min="4" max="8" width="18.7109375" customWidth="1"/>
  </cols>
  <sheetData>
    <row r="1" spans="1:7" x14ac:dyDescent="0.25">
      <c r="A1" s="5"/>
      <c r="B1" s="5"/>
      <c r="C1" s="5"/>
      <c r="D1" s="5"/>
      <c r="E1" s="5"/>
      <c r="F1" s="5"/>
      <c r="G1" s="5"/>
    </row>
    <row r="2" spans="1:7" ht="23.25" x14ac:dyDescent="0.35">
      <c r="A2" s="5"/>
      <c r="B2" s="50" t="s">
        <v>154</v>
      </c>
      <c r="C2" s="51"/>
      <c r="D2" s="51"/>
      <c r="E2" s="51"/>
      <c r="F2" s="51"/>
      <c r="G2" s="52"/>
    </row>
    <row r="3" spans="1:7" ht="15.75" x14ac:dyDescent="0.25">
      <c r="A3" s="5"/>
      <c r="B3" s="53" t="s">
        <v>0</v>
      </c>
      <c r="C3" s="54"/>
      <c r="D3" s="54"/>
      <c r="E3" s="54"/>
      <c r="F3" s="54"/>
      <c r="G3" s="55"/>
    </row>
    <row r="4" spans="1:7" x14ac:dyDescent="0.25">
      <c r="A4" s="5"/>
      <c r="B4" s="5"/>
      <c r="C4" s="5"/>
      <c r="D4" s="5"/>
      <c r="E4" s="5"/>
      <c r="F4" s="5"/>
      <c r="G4" s="5"/>
    </row>
    <row r="5" spans="1:7" x14ac:dyDescent="0.25">
      <c r="A5" s="5"/>
      <c r="B5" s="1" t="s">
        <v>1</v>
      </c>
      <c r="C5" s="5"/>
      <c r="D5" s="2" t="s">
        <v>2</v>
      </c>
      <c r="E5" s="5"/>
      <c r="F5" s="5"/>
      <c r="G5" s="5"/>
    </row>
    <row r="6" spans="1:7" x14ac:dyDescent="0.25">
      <c r="A6" s="5"/>
      <c r="B6" s="1" t="s">
        <v>3</v>
      </c>
      <c r="C6" s="5"/>
      <c r="D6" s="3">
        <v>46113</v>
      </c>
      <c r="E6" s="5"/>
      <c r="F6" s="5"/>
      <c r="G6" s="5"/>
    </row>
    <row r="7" spans="1:7" x14ac:dyDescent="0.25">
      <c r="A7" s="5"/>
      <c r="B7" s="1" t="s">
        <v>4</v>
      </c>
      <c r="C7" s="5"/>
      <c r="D7" s="2" t="s">
        <v>18</v>
      </c>
      <c r="E7" s="5"/>
      <c r="F7" s="5"/>
      <c r="G7" s="5"/>
    </row>
    <row r="8" spans="1:7" x14ac:dyDescent="0.25">
      <c r="A8" s="5"/>
      <c r="B8" s="1" t="s">
        <v>5</v>
      </c>
      <c r="C8" s="5"/>
      <c r="D8" s="2">
        <v>2024</v>
      </c>
      <c r="E8" s="5"/>
      <c r="F8" s="5"/>
      <c r="G8" s="5"/>
    </row>
    <row r="9" spans="1:7" x14ac:dyDescent="0.25">
      <c r="A9" s="5"/>
      <c r="B9" s="1" t="s">
        <v>6</v>
      </c>
      <c r="C9" s="5"/>
      <c r="D9" s="2">
        <v>184</v>
      </c>
      <c r="E9" s="5"/>
      <c r="F9" s="5"/>
      <c r="G9" s="5"/>
    </row>
    <row r="10" spans="1:7" x14ac:dyDescent="0.25">
      <c r="A10" s="5"/>
      <c r="B10" s="1" t="s">
        <v>7</v>
      </c>
      <c r="C10" s="5"/>
      <c r="D10" s="2">
        <v>49</v>
      </c>
      <c r="E10" s="5"/>
      <c r="F10" s="5"/>
      <c r="G10" s="5"/>
    </row>
    <row r="11" spans="1:7" x14ac:dyDescent="0.25">
      <c r="A11" s="5"/>
      <c r="B11" s="1" t="s">
        <v>8</v>
      </c>
      <c r="C11" s="5"/>
      <c r="D11" s="2">
        <v>54</v>
      </c>
      <c r="E11" s="5"/>
      <c r="F11" s="5"/>
      <c r="G11" s="5"/>
    </row>
    <row r="12" spans="1:7" x14ac:dyDescent="0.25">
      <c r="A12" s="5"/>
      <c r="B12" s="5"/>
      <c r="C12" s="5"/>
      <c r="D12" s="5"/>
      <c r="E12" s="5"/>
      <c r="F12" s="5"/>
      <c r="G12" s="5"/>
    </row>
    <row r="13" spans="1:7" ht="15.75" x14ac:dyDescent="0.25">
      <c r="A13" s="5"/>
      <c r="B13" s="4" t="s">
        <v>9</v>
      </c>
      <c r="C13" s="5"/>
      <c r="D13" s="5"/>
      <c r="E13" s="5"/>
      <c r="F13" s="5"/>
      <c r="G13" s="5"/>
    </row>
    <row r="14" spans="1:7" x14ac:dyDescent="0.25">
      <c r="A14" s="5"/>
      <c r="B14" s="41" t="s">
        <v>10</v>
      </c>
      <c r="C14" s="5"/>
      <c r="D14" s="5" t="s">
        <v>11</v>
      </c>
      <c r="E14" s="5"/>
      <c r="F14" s="5"/>
      <c r="G14" s="5"/>
    </row>
    <row r="15" spans="1:7" x14ac:dyDescent="0.25">
      <c r="A15" s="5"/>
      <c r="B15" s="40" t="s">
        <v>12</v>
      </c>
      <c r="C15" s="5"/>
      <c r="D15" s="5" t="s">
        <v>13</v>
      </c>
      <c r="E15" s="5"/>
      <c r="F15" s="5"/>
      <c r="G15" s="5"/>
    </row>
    <row r="16" spans="1:7" x14ac:dyDescent="0.25">
      <c r="A16" s="5"/>
      <c r="B16" s="43" t="s">
        <v>14</v>
      </c>
      <c r="C16" s="5"/>
      <c r="D16" s="5" t="s">
        <v>15</v>
      </c>
      <c r="E16" s="5"/>
      <c r="F16" s="5"/>
      <c r="G16" s="5"/>
    </row>
    <row r="17" spans="1:7" x14ac:dyDescent="0.25">
      <c r="A17" s="5"/>
      <c r="B17" s="42" t="s">
        <v>16</v>
      </c>
      <c r="C17" s="5"/>
      <c r="D17" s="5" t="s">
        <v>17</v>
      </c>
      <c r="E17" s="5"/>
      <c r="F17" s="5"/>
      <c r="G17" s="5"/>
    </row>
    <row r="18" spans="1:7" x14ac:dyDescent="0.25">
      <c r="A18" s="5"/>
      <c r="B18" s="39" t="s">
        <v>151</v>
      </c>
      <c r="C18" s="5"/>
      <c r="D18" s="5" t="s">
        <v>150</v>
      </c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</sheetData>
  <mergeCells count="2">
    <mergeCell ref="B2:G2"/>
    <mergeCell ref="B3:G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3CFEC-0674-4287-A73C-242374B78462}">
  <sheetPr>
    <tabColor theme="6" tint="-0.249977111117893"/>
  </sheetPr>
  <dimension ref="A1:F295"/>
  <sheetViews>
    <sheetView workbookViewId="0">
      <selection activeCell="N6" sqref="N6"/>
    </sheetView>
  </sheetViews>
  <sheetFormatPr defaultRowHeight="14.25" x14ac:dyDescent="0.2"/>
  <cols>
    <col min="1" max="1" width="12.85546875" style="5" bestFit="1" customWidth="1"/>
    <col min="2" max="2" width="29.140625" style="5" bestFit="1" customWidth="1"/>
    <col min="3" max="3" width="17.28515625" style="5" bestFit="1" customWidth="1"/>
    <col min="4" max="5" width="15.85546875" style="5" bestFit="1" customWidth="1"/>
    <col min="6" max="6" width="15.140625" style="5" bestFit="1" customWidth="1"/>
    <col min="7" max="16384" width="9.140625" style="5"/>
  </cols>
  <sheetData>
    <row r="1" spans="1:6" ht="18" x14ac:dyDescent="0.25">
      <c r="A1" s="56" t="s">
        <v>114</v>
      </c>
      <c r="B1" s="56"/>
      <c r="C1" s="56"/>
      <c r="D1" s="56"/>
      <c r="E1" s="56"/>
      <c r="F1" s="56"/>
    </row>
    <row r="2" spans="1:6" x14ac:dyDescent="0.2">
      <c r="A2" s="5" t="s">
        <v>19</v>
      </c>
      <c r="B2" s="6" t="s">
        <v>20</v>
      </c>
      <c r="C2" s="5" t="s">
        <v>21</v>
      </c>
      <c r="D2" s="5" t="s">
        <v>22</v>
      </c>
      <c r="E2" s="5" t="s">
        <v>23</v>
      </c>
      <c r="F2" s="5" t="s">
        <v>24</v>
      </c>
    </row>
    <row r="3" spans="1:6" x14ac:dyDescent="0.2">
      <c r="A3" s="5">
        <v>1</v>
      </c>
      <c r="B3" s="7">
        <v>45293</v>
      </c>
      <c r="C3" s="5">
        <v>1</v>
      </c>
      <c r="D3" s="5" t="s">
        <v>25</v>
      </c>
      <c r="E3" s="5">
        <v>1129.28</v>
      </c>
      <c r="F3" s="5" t="s">
        <v>26</v>
      </c>
    </row>
    <row r="4" spans="1:6" x14ac:dyDescent="0.2">
      <c r="A4" s="5">
        <v>2</v>
      </c>
      <c r="B4" s="7">
        <v>45294</v>
      </c>
      <c r="C4" s="5">
        <v>2</v>
      </c>
      <c r="D4" s="5" t="s">
        <v>25</v>
      </c>
      <c r="E4" s="5">
        <v>500.9</v>
      </c>
      <c r="F4" s="5" t="s">
        <v>27</v>
      </c>
    </row>
    <row r="5" spans="1:6" x14ac:dyDescent="0.2">
      <c r="A5" s="5">
        <v>3</v>
      </c>
      <c r="B5" s="7">
        <v>45296</v>
      </c>
      <c r="C5" s="5">
        <v>3</v>
      </c>
      <c r="D5" s="5" t="s">
        <v>28</v>
      </c>
      <c r="E5" s="5">
        <v>1149.3900000000001</v>
      </c>
      <c r="F5" s="5" t="s">
        <v>27</v>
      </c>
    </row>
    <row r="6" spans="1:6" x14ac:dyDescent="0.2">
      <c r="A6" s="5">
        <v>4</v>
      </c>
      <c r="B6" s="7">
        <v>45297</v>
      </c>
      <c r="C6" s="5">
        <v>4</v>
      </c>
      <c r="D6" s="5" t="s">
        <v>28</v>
      </c>
      <c r="E6" s="5">
        <v>5188.7</v>
      </c>
      <c r="F6" s="5" t="s">
        <v>26</v>
      </c>
    </row>
    <row r="7" spans="1:6" x14ac:dyDescent="0.2">
      <c r="A7" s="5">
        <v>5</v>
      </c>
      <c r="B7" s="7">
        <v>45299</v>
      </c>
      <c r="C7" s="5">
        <v>5</v>
      </c>
      <c r="D7" s="5" t="s">
        <v>29</v>
      </c>
      <c r="E7" s="5">
        <v>673.7</v>
      </c>
      <c r="F7" s="5" t="s">
        <v>26</v>
      </c>
    </row>
    <row r="8" spans="1:6" x14ac:dyDescent="0.2">
      <c r="A8" s="5">
        <v>6</v>
      </c>
      <c r="B8" s="7">
        <v>45300</v>
      </c>
      <c r="C8" s="5">
        <v>6</v>
      </c>
      <c r="D8" s="5" t="s">
        <v>30</v>
      </c>
      <c r="E8" s="5">
        <v>352.99</v>
      </c>
      <c r="F8" s="5" t="s">
        <v>27</v>
      </c>
    </row>
    <row r="9" spans="1:6" x14ac:dyDescent="0.2">
      <c r="A9" s="5">
        <v>7</v>
      </c>
      <c r="B9" s="7">
        <v>45301</v>
      </c>
      <c r="C9" s="5">
        <v>7</v>
      </c>
      <c r="D9" s="5" t="s">
        <v>31</v>
      </c>
      <c r="E9" s="5">
        <v>310.10000000000002</v>
      </c>
      <c r="F9" s="5" t="s">
        <v>27</v>
      </c>
    </row>
    <row r="10" spans="1:6" x14ac:dyDescent="0.2">
      <c r="A10" s="5">
        <v>8</v>
      </c>
      <c r="B10" s="7">
        <v>45302</v>
      </c>
      <c r="C10" s="5">
        <v>8</v>
      </c>
      <c r="D10" s="5" t="s">
        <v>25</v>
      </c>
      <c r="E10" s="5">
        <v>79.900000000000006</v>
      </c>
      <c r="F10" s="5" t="s">
        <v>26</v>
      </c>
    </row>
    <row r="11" spans="1:6" x14ac:dyDescent="0.2">
      <c r="A11" s="5">
        <v>9</v>
      </c>
      <c r="B11" s="7">
        <v>45303</v>
      </c>
      <c r="C11" s="5">
        <v>9</v>
      </c>
      <c r="D11" s="5" t="s">
        <v>25</v>
      </c>
      <c r="E11" s="5">
        <v>1348.13</v>
      </c>
      <c r="F11" s="5" t="s">
        <v>27</v>
      </c>
    </row>
    <row r="12" spans="1:6" x14ac:dyDescent="0.2">
      <c r="A12" s="5">
        <v>10</v>
      </c>
      <c r="B12" s="7">
        <v>45304</v>
      </c>
      <c r="C12" s="5">
        <v>10</v>
      </c>
      <c r="D12" s="5" t="s">
        <v>29</v>
      </c>
      <c r="E12" s="5">
        <v>199.69</v>
      </c>
      <c r="F12" s="5" t="s">
        <v>26</v>
      </c>
    </row>
    <row r="13" spans="1:6" x14ac:dyDescent="0.2">
      <c r="A13" s="5">
        <v>11</v>
      </c>
      <c r="B13" s="7">
        <v>45306</v>
      </c>
      <c r="C13" s="5">
        <v>1</v>
      </c>
      <c r="D13" s="5" t="s">
        <v>25</v>
      </c>
      <c r="E13" s="5">
        <v>1628.98</v>
      </c>
      <c r="F13" s="5" t="s">
        <v>26</v>
      </c>
    </row>
    <row r="14" spans="1:6" x14ac:dyDescent="0.2">
      <c r="A14" s="5">
        <v>12</v>
      </c>
      <c r="B14" s="7">
        <v>45308</v>
      </c>
      <c r="C14" s="5">
        <v>3</v>
      </c>
      <c r="D14" s="5" t="s">
        <v>28</v>
      </c>
      <c r="E14" s="5">
        <v>264.3</v>
      </c>
      <c r="F14" s="5" t="s">
        <v>27</v>
      </c>
    </row>
    <row r="15" spans="1:6" x14ac:dyDescent="0.2">
      <c r="A15" s="5">
        <v>13</v>
      </c>
      <c r="B15" s="7">
        <v>45309</v>
      </c>
      <c r="C15" s="5">
        <v>12</v>
      </c>
      <c r="D15" s="5" t="s">
        <v>28</v>
      </c>
      <c r="E15" s="5">
        <v>212.71</v>
      </c>
      <c r="F15" s="5" t="s">
        <v>27</v>
      </c>
    </row>
    <row r="16" spans="1:6" x14ac:dyDescent="0.2">
      <c r="A16" s="5">
        <v>14</v>
      </c>
      <c r="B16" s="7">
        <v>45310</v>
      </c>
      <c r="C16" s="5">
        <v>13</v>
      </c>
      <c r="D16" s="5" t="s">
        <v>30</v>
      </c>
      <c r="E16" s="5">
        <v>826.9</v>
      </c>
      <c r="F16" s="5" t="s">
        <v>26</v>
      </c>
    </row>
    <row r="17" spans="1:6" x14ac:dyDescent="0.2">
      <c r="A17" s="5">
        <v>15</v>
      </c>
      <c r="B17" s="7">
        <v>45311</v>
      </c>
      <c r="C17" s="5">
        <v>14</v>
      </c>
      <c r="D17" s="5" t="s">
        <v>30</v>
      </c>
      <c r="E17" s="5">
        <v>998.98</v>
      </c>
      <c r="F17" s="5" t="s">
        <v>26</v>
      </c>
    </row>
    <row r="18" spans="1:6" x14ac:dyDescent="0.2">
      <c r="A18" s="5">
        <v>16</v>
      </c>
      <c r="B18" s="7">
        <v>45312</v>
      </c>
      <c r="C18" s="5">
        <v>15</v>
      </c>
      <c r="D18" s="5" t="s">
        <v>28</v>
      </c>
      <c r="E18" s="5">
        <v>268.39</v>
      </c>
      <c r="F18" s="5" t="s">
        <v>26</v>
      </c>
    </row>
    <row r="19" spans="1:6" x14ac:dyDescent="0.2">
      <c r="A19" s="5">
        <v>17</v>
      </c>
      <c r="B19" s="7">
        <v>45313</v>
      </c>
      <c r="C19" s="5">
        <v>16</v>
      </c>
      <c r="D19" s="5" t="s">
        <v>32</v>
      </c>
      <c r="E19" s="5">
        <v>449.79</v>
      </c>
      <c r="F19" s="5" t="s">
        <v>26</v>
      </c>
    </row>
    <row r="20" spans="1:6" x14ac:dyDescent="0.2">
      <c r="A20" s="5">
        <v>18</v>
      </c>
      <c r="B20" s="7">
        <v>45314</v>
      </c>
      <c r="C20" s="5">
        <v>17</v>
      </c>
      <c r="D20" s="5" t="s">
        <v>31</v>
      </c>
      <c r="E20" s="5">
        <v>248.8</v>
      </c>
      <c r="F20" s="5" t="s">
        <v>26</v>
      </c>
    </row>
    <row r="21" spans="1:6" x14ac:dyDescent="0.2">
      <c r="A21" s="5">
        <v>19</v>
      </c>
      <c r="B21" s="7">
        <v>45315</v>
      </c>
      <c r="C21" s="5">
        <v>18</v>
      </c>
      <c r="D21" s="5" t="s">
        <v>29</v>
      </c>
      <c r="E21" s="5">
        <v>398</v>
      </c>
      <c r="F21" s="5" t="s">
        <v>26</v>
      </c>
    </row>
    <row r="22" spans="1:6" x14ac:dyDescent="0.2">
      <c r="A22" s="5">
        <v>20</v>
      </c>
      <c r="B22" s="7">
        <v>45316</v>
      </c>
      <c r="C22" s="5">
        <v>19</v>
      </c>
      <c r="D22" s="5" t="s">
        <v>33</v>
      </c>
      <c r="E22" s="5">
        <v>402.3</v>
      </c>
      <c r="F22" s="5" t="s">
        <v>27</v>
      </c>
    </row>
    <row r="23" spans="1:6" x14ac:dyDescent="0.2">
      <c r="A23" s="5">
        <v>21</v>
      </c>
      <c r="B23" s="7">
        <v>45317</v>
      </c>
      <c r="C23" s="5">
        <v>20</v>
      </c>
      <c r="D23" s="5" t="s">
        <v>30</v>
      </c>
      <c r="E23" s="5">
        <v>857.98</v>
      </c>
      <c r="F23" s="5" t="s">
        <v>26</v>
      </c>
    </row>
    <row r="24" spans="1:6" x14ac:dyDescent="0.2">
      <c r="A24" s="5">
        <v>22</v>
      </c>
      <c r="B24" s="7">
        <v>45318</v>
      </c>
      <c r="C24" s="5">
        <v>21</v>
      </c>
      <c r="D24" s="5" t="s">
        <v>28</v>
      </c>
      <c r="E24" s="5">
        <v>219.7</v>
      </c>
      <c r="F24" s="5" t="s">
        <v>26</v>
      </c>
    </row>
    <row r="25" spans="1:6" x14ac:dyDescent="0.2">
      <c r="A25" s="5">
        <v>23</v>
      </c>
      <c r="B25" s="7">
        <v>45319</v>
      </c>
      <c r="C25" s="5">
        <v>22</v>
      </c>
      <c r="D25" s="5" t="s">
        <v>25</v>
      </c>
      <c r="E25" s="5">
        <v>144.38999999999999</v>
      </c>
      <c r="F25" s="5" t="s">
        <v>26</v>
      </c>
    </row>
    <row r="26" spans="1:6" x14ac:dyDescent="0.2">
      <c r="A26" s="5">
        <v>24</v>
      </c>
      <c r="B26" s="7">
        <v>45320</v>
      </c>
      <c r="C26" s="5">
        <v>23</v>
      </c>
      <c r="D26" s="5" t="s">
        <v>29</v>
      </c>
      <c r="E26" s="5">
        <v>5998.88</v>
      </c>
      <c r="F26" s="5" t="s">
        <v>26</v>
      </c>
    </row>
    <row r="27" spans="1:6" x14ac:dyDescent="0.2">
      <c r="A27" s="5">
        <v>25</v>
      </c>
      <c r="B27" s="7">
        <v>45321</v>
      </c>
      <c r="C27" s="5">
        <v>24</v>
      </c>
      <c r="D27" s="5" t="s">
        <v>25</v>
      </c>
      <c r="E27" s="5">
        <v>488.89</v>
      </c>
      <c r="F27" s="5" t="s">
        <v>26</v>
      </c>
    </row>
    <row r="28" spans="1:6" x14ac:dyDescent="0.2">
      <c r="A28" s="5">
        <v>26</v>
      </c>
      <c r="B28" s="7">
        <v>45323</v>
      </c>
      <c r="C28" s="5">
        <v>5</v>
      </c>
      <c r="D28" s="5" t="s">
        <v>29</v>
      </c>
      <c r="E28" s="5">
        <v>7797</v>
      </c>
      <c r="F28" s="5" t="s">
        <v>26</v>
      </c>
    </row>
    <row r="29" spans="1:6" x14ac:dyDescent="0.2">
      <c r="A29" s="5">
        <v>27</v>
      </c>
      <c r="B29" s="7">
        <v>45324</v>
      </c>
      <c r="C29" s="5">
        <v>6</v>
      </c>
      <c r="D29" s="5" t="s">
        <v>30</v>
      </c>
      <c r="E29" s="5">
        <v>6226.39</v>
      </c>
      <c r="F29" s="5" t="s">
        <v>26</v>
      </c>
    </row>
    <row r="30" spans="1:6" x14ac:dyDescent="0.2">
      <c r="A30" s="5">
        <v>28</v>
      </c>
      <c r="B30" s="7">
        <v>45325</v>
      </c>
      <c r="C30" s="5">
        <v>7</v>
      </c>
      <c r="D30" s="5" t="s">
        <v>31</v>
      </c>
      <c r="E30" s="5">
        <v>590.98</v>
      </c>
      <c r="F30" s="5" t="s">
        <v>26</v>
      </c>
    </row>
    <row r="31" spans="1:6" x14ac:dyDescent="0.2">
      <c r="A31" s="5">
        <v>29</v>
      </c>
      <c r="B31" s="7">
        <v>45326</v>
      </c>
      <c r="C31" s="5">
        <v>8</v>
      </c>
      <c r="D31" s="5" t="s">
        <v>25</v>
      </c>
      <c r="E31" s="5">
        <v>480.99</v>
      </c>
      <c r="F31" s="5" t="s">
        <v>26</v>
      </c>
    </row>
    <row r="32" spans="1:6" x14ac:dyDescent="0.2">
      <c r="A32" s="5">
        <v>41</v>
      </c>
      <c r="B32" s="7">
        <v>45338</v>
      </c>
      <c r="C32" s="5">
        <v>20</v>
      </c>
      <c r="D32" s="5" t="s">
        <v>30</v>
      </c>
      <c r="E32" s="5">
        <v>1188.49</v>
      </c>
      <c r="F32" s="5" t="s">
        <v>26</v>
      </c>
    </row>
    <row r="33" spans="1:6" x14ac:dyDescent="0.2">
      <c r="A33" s="5">
        <v>42</v>
      </c>
      <c r="B33" s="7">
        <v>45339</v>
      </c>
      <c r="C33" s="5">
        <v>21</v>
      </c>
      <c r="D33" s="5" t="s">
        <v>28</v>
      </c>
      <c r="E33" s="5">
        <v>1296.3900000000001</v>
      </c>
      <c r="F33" s="5" t="s">
        <v>26</v>
      </c>
    </row>
    <row r="34" spans="1:6" x14ac:dyDescent="0.2">
      <c r="A34" s="5">
        <v>43</v>
      </c>
      <c r="B34" s="7">
        <v>45340</v>
      </c>
      <c r="C34" s="5">
        <v>22</v>
      </c>
      <c r="D34" s="5" t="s">
        <v>25</v>
      </c>
      <c r="E34" s="5">
        <v>428.99</v>
      </c>
      <c r="F34" s="5" t="s">
        <v>26</v>
      </c>
    </row>
    <row r="35" spans="1:6" x14ac:dyDescent="0.2">
      <c r="A35" s="5">
        <v>44</v>
      </c>
      <c r="B35" s="7">
        <v>45341</v>
      </c>
      <c r="C35" s="5">
        <v>23</v>
      </c>
      <c r="D35" s="5" t="s">
        <v>29</v>
      </c>
      <c r="E35" s="5">
        <v>150.88</v>
      </c>
      <c r="F35" s="5" t="s">
        <v>26</v>
      </c>
    </row>
    <row r="36" spans="1:6" x14ac:dyDescent="0.2">
      <c r="A36" s="5">
        <v>45</v>
      </c>
      <c r="B36" s="7">
        <v>45342</v>
      </c>
      <c r="C36" s="5">
        <v>24</v>
      </c>
      <c r="D36" s="5" t="s">
        <v>25</v>
      </c>
      <c r="E36" s="5">
        <v>239.6</v>
      </c>
      <c r="F36" s="5" t="s">
        <v>26</v>
      </c>
    </row>
    <row r="37" spans="1:6" x14ac:dyDescent="0.2">
      <c r="A37" s="5">
        <v>51</v>
      </c>
      <c r="B37" s="7">
        <v>45348</v>
      </c>
      <c r="C37" s="5">
        <v>2</v>
      </c>
      <c r="D37" s="5" t="s">
        <v>25</v>
      </c>
      <c r="E37" s="5">
        <v>332.21</v>
      </c>
      <c r="F37" s="5" t="s">
        <v>27</v>
      </c>
    </row>
    <row r="38" spans="1:6" x14ac:dyDescent="0.2">
      <c r="A38" s="5">
        <v>52</v>
      </c>
      <c r="B38" s="7">
        <v>45349</v>
      </c>
      <c r="C38" s="5">
        <v>3</v>
      </c>
      <c r="D38" s="5" t="s">
        <v>28</v>
      </c>
      <c r="E38" s="5">
        <v>1483.48</v>
      </c>
      <c r="F38" s="5" t="s">
        <v>27</v>
      </c>
    </row>
    <row r="39" spans="1:6" x14ac:dyDescent="0.2">
      <c r="A39" s="5">
        <v>53</v>
      </c>
      <c r="B39" s="7">
        <v>45350</v>
      </c>
      <c r="C39" s="5">
        <v>4</v>
      </c>
      <c r="D39" s="5" t="s">
        <v>28</v>
      </c>
      <c r="E39" s="5">
        <v>5532.89</v>
      </c>
      <c r="F39" s="5" t="s">
        <v>26</v>
      </c>
    </row>
    <row r="40" spans="1:6" x14ac:dyDescent="0.2">
      <c r="A40" s="5">
        <v>54</v>
      </c>
      <c r="B40" s="7">
        <v>45352</v>
      </c>
      <c r="C40" s="5">
        <v>5</v>
      </c>
      <c r="D40" s="5" t="s">
        <v>29</v>
      </c>
      <c r="E40" s="5">
        <v>1100.43</v>
      </c>
      <c r="F40" s="5" t="s">
        <v>27</v>
      </c>
    </row>
    <row r="41" spans="1:6" x14ac:dyDescent="0.2">
      <c r="A41" s="5">
        <v>55</v>
      </c>
      <c r="B41" s="7">
        <v>45353</v>
      </c>
      <c r="C41" s="5">
        <v>6</v>
      </c>
      <c r="D41" s="5" t="s">
        <v>30</v>
      </c>
      <c r="E41" s="5">
        <v>569.29</v>
      </c>
      <c r="F41" s="5" t="s">
        <v>27</v>
      </c>
    </row>
    <row r="42" spans="1:6" x14ac:dyDescent="0.2">
      <c r="A42" s="5">
        <v>56</v>
      </c>
      <c r="B42" s="7">
        <v>45354</v>
      </c>
      <c r="C42" s="5">
        <v>7</v>
      </c>
      <c r="D42" s="5" t="s">
        <v>31</v>
      </c>
      <c r="E42" s="5">
        <v>10646.98</v>
      </c>
      <c r="F42" s="5" t="s">
        <v>26</v>
      </c>
    </row>
    <row r="43" spans="1:6" x14ac:dyDescent="0.2">
      <c r="A43" s="5">
        <v>57</v>
      </c>
      <c r="B43" s="7">
        <v>45355</v>
      </c>
      <c r="C43" s="5">
        <v>8</v>
      </c>
      <c r="D43" s="5" t="s">
        <v>25</v>
      </c>
      <c r="E43" s="5">
        <v>3398.99</v>
      </c>
      <c r="F43" s="5" t="s">
        <v>26</v>
      </c>
    </row>
    <row r="44" spans="1:6" x14ac:dyDescent="0.2">
      <c r="A44" s="5">
        <v>58</v>
      </c>
      <c r="B44" s="7">
        <v>45356</v>
      </c>
      <c r="C44" s="5">
        <v>9</v>
      </c>
      <c r="D44" s="5" t="s">
        <v>25</v>
      </c>
      <c r="E44" s="5">
        <v>234.99</v>
      </c>
      <c r="F44" s="5" t="s">
        <v>26</v>
      </c>
    </row>
    <row r="45" spans="1:6" x14ac:dyDescent="0.2">
      <c r="A45" s="5">
        <v>59</v>
      </c>
      <c r="B45" s="7">
        <v>45357</v>
      </c>
      <c r="C45" s="5">
        <v>10</v>
      </c>
      <c r="D45" s="5" t="s">
        <v>29</v>
      </c>
      <c r="E45" s="5">
        <v>488.48</v>
      </c>
      <c r="F45" s="5" t="s">
        <v>26</v>
      </c>
    </row>
    <row r="46" spans="1:6" x14ac:dyDescent="0.2">
      <c r="A46" s="5">
        <v>60</v>
      </c>
      <c r="B46" s="7">
        <v>45358</v>
      </c>
      <c r="C46" s="5">
        <v>11</v>
      </c>
      <c r="D46" s="5" t="s">
        <v>34</v>
      </c>
      <c r="E46" s="5">
        <v>278.69</v>
      </c>
      <c r="F46" s="5" t="s">
        <v>26</v>
      </c>
    </row>
    <row r="47" spans="1:6" x14ac:dyDescent="0.2">
      <c r="A47" s="5">
        <v>61</v>
      </c>
      <c r="B47" s="7">
        <v>45359</v>
      </c>
      <c r="C47" s="5">
        <v>12</v>
      </c>
      <c r="D47" s="5" t="s">
        <v>28</v>
      </c>
      <c r="E47" s="5">
        <v>1732.88</v>
      </c>
      <c r="F47" s="5" t="s">
        <v>26</v>
      </c>
    </row>
    <row r="48" spans="1:6" x14ac:dyDescent="0.2">
      <c r="A48" s="5">
        <v>62</v>
      </c>
      <c r="B48" s="7">
        <v>45360</v>
      </c>
      <c r="C48" s="5">
        <v>13</v>
      </c>
      <c r="D48" s="5" t="s">
        <v>30</v>
      </c>
      <c r="E48" s="5">
        <v>618.87</v>
      </c>
      <c r="F48" s="5" t="s">
        <v>26</v>
      </c>
    </row>
    <row r="49" spans="1:6" x14ac:dyDescent="0.2">
      <c r="A49" s="5">
        <v>63</v>
      </c>
      <c r="B49" s="7">
        <v>45361</v>
      </c>
      <c r="C49" s="5">
        <v>14</v>
      </c>
      <c r="D49" s="5" t="s">
        <v>30</v>
      </c>
      <c r="E49" s="5">
        <v>5218.6899999999996</v>
      </c>
      <c r="F49" s="5" t="s">
        <v>26</v>
      </c>
    </row>
    <row r="50" spans="1:6" x14ac:dyDescent="0.2">
      <c r="A50" s="5">
        <v>64</v>
      </c>
      <c r="B50" s="7">
        <v>45362</v>
      </c>
      <c r="C50" s="5">
        <v>15</v>
      </c>
      <c r="D50" s="5" t="s">
        <v>28</v>
      </c>
      <c r="E50" s="5">
        <v>4817.78</v>
      </c>
      <c r="F50" s="5" t="s">
        <v>26</v>
      </c>
    </row>
    <row r="51" spans="1:6" x14ac:dyDescent="0.2">
      <c r="A51" s="5">
        <v>65</v>
      </c>
      <c r="B51" s="7">
        <v>45363</v>
      </c>
      <c r="C51" s="5">
        <v>16</v>
      </c>
      <c r="D51" s="5" t="s">
        <v>32</v>
      </c>
      <c r="E51" s="5">
        <v>1577.96</v>
      </c>
      <c r="F51" s="5" t="s">
        <v>26</v>
      </c>
    </row>
    <row r="52" spans="1:6" x14ac:dyDescent="0.2">
      <c r="A52" s="5">
        <v>66</v>
      </c>
      <c r="B52" s="7">
        <v>45364</v>
      </c>
      <c r="C52" s="5">
        <v>17</v>
      </c>
      <c r="D52" s="5" t="s">
        <v>31</v>
      </c>
      <c r="E52" s="5">
        <v>1044.8900000000001</v>
      </c>
      <c r="F52" s="5" t="s">
        <v>27</v>
      </c>
    </row>
    <row r="53" spans="1:6" x14ac:dyDescent="0.2">
      <c r="A53" s="5">
        <v>67</v>
      </c>
      <c r="B53" s="7">
        <v>45365</v>
      </c>
      <c r="C53" s="5">
        <v>18</v>
      </c>
      <c r="D53" s="5" t="s">
        <v>29</v>
      </c>
      <c r="E53" s="5">
        <v>318.89</v>
      </c>
      <c r="F53" s="5" t="s">
        <v>26</v>
      </c>
    </row>
    <row r="54" spans="1:6" x14ac:dyDescent="0.2">
      <c r="A54" s="5">
        <v>68</v>
      </c>
      <c r="B54" s="7">
        <v>45366</v>
      </c>
      <c r="C54" s="5">
        <v>19</v>
      </c>
      <c r="D54" s="5" t="s">
        <v>33</v>
      </c>
      <c r="E54" s="5">
        <v>457.9</v>
      </c>
      <c r="F54" s="5" t="s">
        <v>26</v>
      </c>
    </row>
    <row r="55" spans="1:6" x14ac:dyDescent="0.2">
      <c r="A55" s="5">
        <v>69</v>
      </c>
      <c r="B55" s="7">
        <v>45367</v>
      </c>
      <c r="C55" s="5">
        <v>20</v>
      </c>
      <c r="D55" s="5" t="s">
        <v>30</v>
      </c>
      <c r="E55" s="5">
        <v>214.89</v>
      </c>
      <c r="F55" s="5" t="s">
        <v>26</v>
      </c>
    </row>
    <row r="56" spans="1:6" x14ac:dyDescent="0.2">
      <c r="A56" s="5">
        <v>70</v>
      </c>
      <c r="B56" s="7">
        <v>45368</v>
      </c>
      <c r="C56" s="5">
        <v>21</v>
      </c>
      <c r="D56" s="5" t="s">
        <v>28</v>
      </c>
      <c r="E56" s="5">
        <v>518.88</v>
      </c>
      <c r="F56" s="5" t="s">
        <v>26</v>
      </c>
    </row>
    <row r="57" spans="1:6" x14ac:dyDescent="0.2">
      <c r="A57" s="5">
        <v>71</v>
      </c>
      <c r="B57" s="7">
        <v>45369</v>
      </c>
      <c r="C57" s="5">
        <v>22</v>
      </c>
      <c r="D57" s="5" t="s">
        <v>25</v>
      </c>
      <c r="E57" s="5">
        <v>1199.5899999999999</v>
      </c>
      <c r="F57" s="5" t="s">
        <v>26</v>
      </c>
    </row>
    <row r="58" spans="1:6" x14ac:dyDescent="0.2">
      <c r="A58" s="5">
        <v>72</v>
      </c>
      <c r="B58" s="7">
        <v>45370</v>
      </c>
      <c r="C58" s="5">
        <v>23</v>
      </c>
      <c r="D58" s="5" t="s">
        <v>29</v>
      </c>
      <c r="E58" s="5">
        <v>228.39</v>
      </c>
      <c r="F58" s="5" t="s">
        <v>26</v>
      </c>
    </row>
    <row r="59" spans="1:6" x14ac:dyDescent="0.2">
      <c r="A59" s="5">
        <v>73</v>
      </c>
      <c r="B59" s="7">
        <v>45371</v>
      </c>
      <c r="C59" s="5">
        <v>24</v>
      </c>
      <c r="D59" s="5" t="s">
        <v>25</v>
      </c>
      <c r="E59" s="5">
        <v>10897.99</v>
      </c>
      <c r="F59" s="5" t="s">
        <v>26</v>
      </c>
    </row>
    <row r="60" spans="1:6" x14ac:dyDescent="0.2">
      <c r="A60" s="5">
        <v>74</v>
      </c>
      <c r="B60" s="7">
        <v>45372</v>
      </c>
      <c r="C60" s="5">
        <v>25</v>
      </c>
      <c r="D60" s="5" t="s">
        <v>25</v>
      </c>
      <c r="E60" s="5">
        <v>129.9</v>
      </c>
      <c r="F60" s="5" t="s">
        <v>26</v>
      </c>
    </row>
    <row r="61" spans="1:6" x14ac:dyDescent="0.2">
      <c r="A61" s="5">
        <v>75</v>
      </c>
      <c r="B61" s="7">
        <v>45373</v>
      </c>
      <c r="C61" s="5">
        <v>26</v>
      </c>
      <c r="D61" s="5" t="s">
        <v>35</v>
      </c>
      <c r="E61" s="5">
        <v>627.5</v>
      </c>
      <c r="F61" s="5" t="s">
        <v>26</v>
      </c>
    </row>
    <row r="62" spans="1:6" x14ac:dyDescent="0.2">
      <c r="A62" s="5">
        <v>76</v>
      </c>
      <c r="B62" s="7">
        <v>45374</v>
      </c>
      <c r="C62" s="5">
        <v>27</v>
      </c>
      <c r="D62" s="5" t="s">
        <v>28</v>
      </c>
      <c r="E62" s="5">
        <v>1118.8800000000001</v>
      </c>
      <c r="F62" s="5" t="s">
        <v>26</v>
      </c>
    </row>
    <row r="63" spans="1:6" x14ac:dyDescent="0.2">
      <c r="A63" s="5">
        <v>77</v>
      </c>
      <c r="B63" s="7">
        <v>45375</v>
      </c>
      <c r="C63" s="5">
        <v>28</v>
      </c>
      <c r="D63" s="5" t="s">
        <v>28</v>
      </c>
      <c r="E63" s="5">
        <v>967</v>
      </c>
      <c r="F63" s="5" t="s">
        <v>26</v>
      </c>
    </row>
    <row r="64" spans="1:6" x14ac:dyDescent="0.2">
      <c r="A64" s="5">
        <v>78</v>
      </c>
      <c r="B64" s="7">
        <v>45376</v>
      </c>
      <c r="C64" s="5">
        <v>29</v>
      </c>
      <c r="D64" s="5" t="s">
        <v>28</v>
      </c>
      <c r="E64" s="5">
        <v>199.98</v>
      </c>
      <c r="F64" s="5" t="s">
        <v>26</v>
      </c>
    </row>
    <row r="65" spans="1:6" x14ac:dyDescent="0.2">
      <c r="A65" s="5">
        <v>79</v>
      </c>
      <c r="B65" s="7">
        <v>45377</v>
      </c>
      <c r="C65" s="5">
        <v>30</v>
      </c>
      <c r="D65" s="5" t="s">
        <v>36</v>
      </c>
      <c r="E65" s="5">
        <v>5596.89</v>
      </c>
      <c r="F65" s="5" t="s">
        <v>26</v>
      </c>
    </row>
    <row r="66" spans="1:6" x14ac:dyDescent="0.2">
      <c r="A66" s="5">
        <v>80</v>
      </c>
      <c r="B66" s="7">
        <v>45378</v>
      </c>
      <c r="C66" s="5">
        <v>31</v>
      </c>
      <c r="D66" s="5" t="s">
        <v>25</v>
      </c>
      <c r="E66" s="5">
        <v>848.79</v>
      </c>
      <c r="F66" s="5" t="s">
        <v>26</v>
      </c>
    </row>
    <row r="67" spans="1:6" x14ac:dyDescent="0.2">
      <c r="A67" s="5">
        <v>81</v>
      </c>
      <c r="B67" s="7">
        <v>45379</v>
      </c>
      <c r="C67" s="5">
        <v>32</v>
      </c>
      <c r="D67" s="5" t="s">
        <v>25</v>
      </c>
      <c r="E67" s="5">
        <v>538.48</v>
      </c>
      <c r="F67" s="5" t="s">
        <v>26</v>
      </c>
    </row>
    <row r="68" spans="1:6" x14ac:dyDescent="0.2">
      <c r="A68" s="5">
        <v>82</v>
      </c>
      <c r="B68" s="7">
        <v>45380</v>
      </c>
      <c r="C68" s="5">
        <v>33</v>
      </c>
      <c r="D68" s="5" t="s">
        <v>37</v>
      </c>
      <c r="E68" s="5">
        <v>333.9</v>
      </c>
      <c r="F68" s="5" t="s">
        <v>26</v>
      </c>
    </row>
    <row r="69" spans="1:6" x14ac:dyDescent="0.2">
      <c r="A69" s="5">
        <v>83</v>
      </c>
      <c r="B69" s="7">
        <v>45381</v>
      </c>
      <c r="C69" s="5">
        <v>34</v>
      </c>
      <c r="D69" s="5" t="s">
        <v>37</v>
      </c>
      <c r="E69" s="5">
        <v>3518.79</v>
      </c>
      <c r="F69" s="5" t="s">
        <v>26</v>
      </c>
    </row>
    <row r="70" spans="1:6" x14ac:dyDescent="0.2">
      <c r="A70" s="5">
        <v>84</v>
      </c>
      <c r="B70" s="7">
        <v>45382</v>
      </c>
      <c r="C70" s="5">
        <v>35</v>
      </c>
      <c r="D70" s="5" t="s">
        <v>25</v>
      </c>
      <c r="E70" s="5">
        <v>578.87</v>
      </c>
      <c r="F70" s="5" t="s">
        <v>26</v>
      </c>
    </row>
    <row r="71" spans="1:6" x14ac:dyDescent="0.2">
      <c r="A71" s="5">
        <v>85</v>
      </c>
      <c r="B71" s="7">
        <v>45383</v>
      </c>
      <c r="C71" s="5">
        <v>36</v>
      </c>
      <c r="D71" s="5" t="s">
        <v>25</v>
      </c>
      <c r="E71" s="5">
        <v>708.39</v>
      </c>
      <c r="F71" s="5" t="s">
        <v>26</v>
      </c>
    </row>
    <row r="72" spans="1:6" x14ac:dyDescent="0.2">
      <c r="A72" s="5">
        <v>86</v>
      </c>
      <c r="B72" s="7">
        <v>45384</v>
      </c>
      <c r="C72" s="5">
        <v>37</v>
      </c>
      <c r="D72" s="5" t="s">
        <v>30</v>
      </c>
      <c r="E72" s="5">
        <v>688.89</v>
      </c>
      <c r="F72" s="5" t="s">
        <v>26</v>
      </c>
    </row>
    <row r="73" spans="1:6" x14ac:dyDescent="0.2">
      <c r="A73" s="5">
        <v>87</v>
      </c>
      <c r="B73" s="7">
        <v>45385</v>
      </c>
      <c r="C73" s="5">
        <v>38</v>
      </c>
      <c r="D73" s="5" t="s">
        <v>38</v>
      </c>
      <c r="E73" s="5">
        <v>187.99</v>
      </c>
      <c r="F73" s="5" t="s">
        <v>26</v>
      </c>
    </row>
    <row r="74" spans="1:6" x14ac:dyDescent="0.2">
      <c r="A74" s="5">
        <v>88</v>
      </c>
      <c r="B74" s="7">
        <v>45386</v>
      </c>
      <c r="C74" s="5">
        <v>39</v>
      </c>
      <c r="D74" s="5" t="s">
        <v>39</v>
      </c>
      <c r="E74" s="5">
        <v>6307.89</v>
      </c>
      <c r="F74" s="5" t="s">
        <v>26</v>
      </c>
    </row>
    <row r="75" spans="1:6" x14ac:dyDescent="0.2">
      <c r="A75" s="5">
        <v>89</v>
      </c>
      <c r="B75" s="7">
        <v>45387</v>
      </c>
      <c r="C75" s="5">
        <v>40</v>
      </c>
      <c r="D75" s="5" t="s">
        <v>25</v>
      </c>
      <c r="E75" s="5">
        <v>572.4</v>
      </c>
      <c r="F75" s="5" t="s">
        <v>26</v>
      </c>
    </row>
    <row r="76" spans="1:6" x14ac:dyDescent="0.2">
      <c r="A76" s="5">
        <v>90</v>
      </c>
      <c r="B76" s="7">
        <v>45388</v>
      </c>
      <c r="C76" s="5">
        <v>1</v>
      </c>
      <c r="D76" s="5" t="s">
        <v>25</v>
      </c>
      <c r="E76" s="5">
        <v>338.9</v>
      </c>
      <c r="F76" s="5" t="s">
        <v>26</v>
      </c>
    </row>
    <row r="77" spans="1:6" x14ac:dyDescent="0.2">
      <c r="A77" s="5">
        <v>91</v>
      </c>
      <c r="B77" s="7">
        <v>45389</v>
      </c>
      <c r="C77" s="5">
        <v>2</v>
      </c>
      <c r="D77" s="5" t="s">
        <v>25</v>
      </c>
      <c r="E77" s="5">
        <v>1038.8900000000001</v>
      </c>
      <c r="F77" s="5" t="s">
        <v>26</v>
      </c>
    </row>
    <row r="78" spans="1:6" x14ac:dyDescent="0.2">
      <c r="A78" s="5">
        <v>92</v>
      </c>
      <c r="B78" s="7">
        <v>45390</v>
      </c>
      <c r="C78" s="5">
        <v>3</v>
      </c>
      <c r="D78" s="5" t="s">
        <v>28</v>
      </c>
      <c r="E78" s="5">
        <v>2777.5</v>
      </c>
      <c r="F78" s="5" t="s">
        <v>26</v>
      </c>
    </row>
    <row r="79" spans="1:6" x14ac:dyDescent="0.2">
      <c r="A79" s="5">
        <v>93</v>
      </c>
      <c r="B79" s="7">
        <v>45391</v>
      </c>
      <c r="C79" s="5">
        <v>4</v>
      </c>
      <c r="D79" s="5" t="s">
        <v>28</v>
      </c>
      <c r="E79" s="5">
        <v>1245.49</v>
      </c>
      <c r="F79" s="5" t="s">
        <v>26</v>
      </c>
    </row>
    <row r="80" spans="1:6" x14ac:dyDescent="0.2">
      <c r="A80" s="5">
        <v>94</v>
      </c>
      <c r="B80" s="7">
        <v>45392</v>
      </c>
      <c r="C80" s="5">
        <v>5</v>
      </c>
      <c r="D80" s="5" t="s">
        <v>29</v>
      </c>
      <c r="E80" s="5">
        <v>966.99</v>
      </c>
      <c r="F80" s="5" t="s">
        <v>26</v>
      </c>
    </row>
    <row r="81" spans="1:6" x14ac:dyDescent="0.2">
      <c r="A81" s="5">
        <v>95</v>
      </c>
      <c r="B81" s="7">
        <v>45393</v>
      </c>
      <c r="C81" s="5">
        <v>6</v>
      </c>
      <c r="D81" s="5" t="s">
        <v>30</v>
      </c>
      <c r="E81" s="5">
        <v>13175.99</v>
      </c>
      <c r="F81" s="5" t="s">
        <v>26</v>
      </c>
    </row>
    <row r="82" spans="1:6" x14ac:dyDescent="0.2">
      <c r="A82" s="5">
        <v>96</v>
      </c>
      <c r="B82" s="7">
        <v>45394</v>
      </c>
      <c r="C82" s="5">
        <v>7</v>
      </c>
      <c r="D82" s="5" t="s">
        <v>31</v>
      </c>
      <c r="E82" s="5">
        <v>513.9</v>
      </c>
      <c r="F82" s="5" t="s">
        <v>26</v>
      </c>
    </row>
    <row r="83" spans="1:6" x14ac:dyDescent="0.2">
      <c r="A83" s="5">
        <v>97</v>
      </c>
      <c r="B83" s="7">
        <v>45395</v>
      </c>
      <c r="C83" s="5">
        <v>8</v>
      </c>
      <c r="D83" s="5" t="s">
        <v>25</v>
      </c>
      <c r="E83" s="5">
        <v>6788.38</v>
      </c>
      <c r="F83" s="5" t="s">
        <v>26</v>
      </c>
    </row>
    <row r="84" spans="1:6" x14ac:dyDescent="0.2">
      <c r="A84" s="5">
        <v>98</v>
      </c>
      <c r="B84" s="7">
        <v>45396</v>
      </c>
      <c r="C84" s="5">
        <v>9</v>
      </c>
      <c r="D84" s="5" t="s">
        <v>25</v>
      </c>
      <c r="E84" s="5">
        <v>1232.68</v>
      </c>
      <c r="F84" s="5" t="s">
        <v>26</v>
      </c>
    </row>
    <row r="85" spans="1:6" x14ac:dyDescent="0.2">
      <c r="A85" s="5">
        <v>99</v>
      </c>
      <c r="B85" s="7">
        <v>45397</v>
      </c>
      <c r="C85" s="5">
        <v>10</v>
      </c>
      <c r="D85" s="5" t="s">
        <v>29</v>
      </c>
      <c r="E85" s="5">
        <v>937.6</v>
      </c>
      <c r="F85" s="5" t="s">
        <v>26</v>
      </c>
    </row>
    <row r="86" spans="1:6" x14ac:dyDescent="0.2">
      <c r="A86" s="5">
        <v>100</v>
      </c>
      <c r="B86" s="7">
        <v>45413</v>
      </c>
      <c r="C86" s="5">
        <v>12</v>
      </c>
      <c r="D86" s="5" t="s">
        <v>28</v>
      </c>
      <c r="E86" s="5">
        <v>3398.99</v>
      </c>
      <c r="F86" s="5" t="s">
        <v>26</v>
      </c>
    </row>
    <row r="87" spans="1:6" x14ac:dyDescent="0.2">
      <c r="A87" s="5">
        <v>101</v>
      </c>
      <c r="B87" s="7">
        <v>45414</v>
      </c>
      <c r="C87" s="5">
        <v>13</v>
      </c>
      <c r="D87" s="5" t="s">
        <v>30</v>
      </c>
      <c r="E87" s="5">
        <v>1538.52</v>
      </c>
      <c r="F87" s="5" t="s">
        <v>27</v>
      </c>
    </row>
    <row r="88" spans="1:6" x14ac:dyDescent="0.2">
      <c r="A88" s="5">
        <v>102</v>
      </c>
      <c r="B88" s="7">
        <v>45415</v>
      </c>
      <c r="C88" s="5">
        <v>14</v>
      </c>
      <c r="D88" s="5" t="s">
        <v>30</v>
      </c>
      <c r="E88" s="5">
        <v>229.79</v>
      </c>
      <c r="F88" s="5" t="s">
        <v>26</v>
      </c>
    </row>
    <row r="89" spans="1:6" x14ac:dyDescent="0.2">
      <c r="A89" s="5">
        <v>103</v>
      </c>
      <c r="B89" s="7">
        <v>45416</v>
      </c>
      <c r="C89" s="5">
        <v>15</v>
      </c>
      <c r="D89" s="5" t="s">
        <v>28</v>
      </c>
      <c r="E89" s="5">
        <v>1558.47</v>
      </c>
      <c r="F89" s="5" t="s">
        <v>26</v>
      </c>
    </row>
    <row r="90" spans="1:6" x14ac:dyDescent="0.2">
      <c r="A90" s="5">
        <v>104</v>
      </c>
      <c r="B90" s="7">
        <v>45417</v>
      </c>
      <c r="C90" s="5">
        <v>16</v>
      </c>
      <c r="D90" s="5" t="s">
        <v>32</v>
      </c>
      <c r="E90" s="5">
        <v>7537.99</v>
      </c>
      <c r="F90" s="5" t="s">
        <v>26</v>
      </c>
    </row>
    <row r="91" spans="1:6" x14ac:dyDescent="0.2">
      <c r="A91" s="5">
        <v>105</v>
      </c>
      <c r="B91" s="7">
        <v>45418</v>
      </c>
      <c r="C91" s="5">
        <v>17</v>
      </c>
      <c r="D91" s="5" t="s">
        <v>31</v>
      </c>
      <c r="E91" s="5">
        <v>214.39</v>
      </c>
      <c r="F91" s="5" t="s">
        <v>26</v>
      </c>
    </row>
    <row r="92" spans="1:6" x14ac:dyDescent="0.2">
      <c r="A92" s="5">
        <v>106</v>
      </c>
      <c r="B92" s="7">
        <v>45419</v>
      </c>
      <c r="C92" s="5">
        <v>18</v>
      </c>
      <c r="D92" s="5" t="s">
        <v>29</v>
      </c>
      <c r="E92" s="5">
        <v>435.29</v>
      </c>
      <c r="F92" s="5" t="s">
        <v>27</v>
      </c>
    </row>
    <row r="93" spans="1:6" x14ac:dyDescent="0.2">
      <c r="A93" s="5">
        <v>107</v>
      </c>
      <c r="B93" s="7">
        <v>45420</v>
      </c>
      <c r="C93" s="5">
        <v>19</v>
      </c>
      <c r="D93" s="5" t="s">
        <v>33</v>
      </c>
      <c r="E93" s="5">
        <v>84.89</v>
      </c>
      <c r="F93" s="5" t="s">
        <v>26</v>
      </c>
    </row>
    <row r="94" spans="1:6" x14ac:dyDescent="0.2">
      <c r="A94" s="5">
        <v>108</v>
      </c>
      <c r="B94" s="7">
        <v>45421</v>
      </c>
      <c r="C94" s="5">
        <v>20</v>
      </c>
      <c r="D94" s="5" t="s">
        <v>30</v>
      </c>
      <c r="E94" s="5">
        <v>447.9</v>
      </c>
      <c r="F94" s="5" t="s">
        <v>26</v>
      </c>
    </row>
    <row r="95" spans="1:6" x14ac:dyDescent="0.2">
      <c r="A95" s="5">
        <v>109</v>
      </c>
      <c r="B95" s="7">
        <v>45422</v>
      </c>
      <c r="C95" s="5">
        <v>21</v>
      </c>
      <c r="D95" s="5" t="s">
        <v>28</v>
      </c>
      <c r="E95" s="5">
        <v>188.8</v>
      </c>
      <c r="F95" s="5" t="s">
        <v>26</v>
      </c>
    </row>
    <row r="96" spans="1:6" x14ac:dyDescent="0.2">
      <c r="A96" s="5">
        <v>110</v>
      </c>
      <c r="B96" s="7">
        <v>45423</v>
      </c>
      <c r="C96" s="5">
        <v>22</v>
      </c>
      <c r="D96" s="5" t="s">
        <v>25</v>
      </c>
      <c r="E96" s="5">
        <v>507.99</v>
      </c>
      <c r="F96" s="5" t="s">
        <v>26</v>
      </c>
    </row>
    <row r="97" spans="1:6" x14ac:dyDescent="0.2">
      <c r="A97" s="5">
        <v>111</v>
      </c>
      <c r="B97" s="7">
        <v>45424</v>
      </c>
      <c r="C97" s="5">
        <v>23</v>
      </c>
      <c r="D97" s="5" t="s">
        <v>29</v>
      </c>
      <c r="E97" s="5">
        <v>349.5</v>
      </c>
      <c r="F97" s="5" t="s">
        <v>26</v>
      </c>
    </row>
    <row r="98" spans="1:6" x14ac:dyDescent="0.2">
      <c r="A98" s="5">
        <v>112</v>
      </c>
      <c r="B98" s="7">
        <v>45425</v>
      </c>
      <c r="C98" s="5">
        <v>24</v>
      </c>
      <c r="D98" s="5" t="s">
        <v>25</v>
      </c>
      <c r="E98" s="5">
        <v>109.39</v>
      </c>
      <c r="F98" s="5" t="s">
        <v>26</v>
      </c>
    </row>
    <row r="99" spans="1:6" x14ac:dyDescent="0.2">
      <c r="A99" s="5">
        <v>113</v>
      </c>
      <c r="B99" s="7">
        <v>45426</v>
      </c>
      <c r="C99" s="5">
        <v>25</v>
      </c>
      <c r="D99" s="5" t="s">
        <v>25</v>
      </c>
      <c r="E99" s="5">
        <v>3698.38</v>
      </c>
      <c r="F99" s="5" t="s">
        <v>26</v>
      </c>
    </row>
    <row r="100" spans="1:6" x14ac:dyDescent="0.2">
      <c r="A100" s="5">
        <v>114</v>
      </c>
      <c r="B100" s="7">
        <v>45427</v>
      </c>
      <c r="C100" s="5">
        <v>26</v>
      </c>
      <c r="D100" s="5" t="s">
        <v>35</v>
      </c>
      <c r="E100" s="5">
        <v>458.9</v>
      </c>
      <c r="F100" s="5" t="s">
        <v>26</v>
      </c>
    </row>
    <row r="101" spans="1:6" x14ac:dyDescent="0.2">
      <c r="A101" s="5">
        <v>115</v>
      </c>
      <c r="B101" s="7">
        <v>45428</v>
      </c>
      <c r="C101" s="5">
        <v>27</v>
      </c>
      <c r="D101" s="5" t="s">
        <v>28</v>
      </c>
      <c r="E101" s="5">
        <v>1297.5</v>
      </c>
      <c r="F101" s="5" t="s">
        <v>26</v>
      </c>
    </row>
    <row r="102" spans="1:6" x14ac:dyDescent="0.2">
      <c r="A102" s="5">
        <v>116</v>
      </c>
      <c r="B102" s="7">
        <v>45429</v>
      </c>
      <c r="C102" s="5">
        <v>28</v>
      </c>
      <c r="D102" s="5" t="s">
        <v>28</v>
      </c>
      <c r="E102" s="5">
        <v>1438.48</v>
      </c>
      <c r="F102" s="5" t="s">
        <v>26</v>
      </c>
    </row>
    <row r="103" spans="1:6" x14ac:dyDescent="0.2">
      <c r="A103" s="5">
        <v>117</v>
      </c>
      <c r="B103" s="7">
        <v>45430</v>
      </c>
      <c r="C103" s="5">
        <v>29</v>
      </c>
      <c r="D103" s="5" t="s">
        <v>28</v>
      </c>
      <c r="E103" s="5">
        <v>1046</v>
      </c>
      <c r="F103" s="5" t="s">
        <v>26</v>
      </c>
    </row>
    <row r="104" spans="1:6" x14ac:dyDescent="0.2">
      <c r="A104" s="5">
        <v>118</v>
      </c>
      <c r="B104" s="7">
        <v>45431</v>
      </c>
      <c r="C104" s="5">
        <v>30</v>
      </c>
      <c r="D104" s="5" t="s">
        <v>36</v>
      </c>
      <c r="E104" s="5">
        <v>164.98</v>
      </c>
      <c r="F104" s="5" t="s">
        <v>26</v>
      </c>
    </row>
    <row r="105" spans="1:6" x14ac:dyDescent="0.2">
      <c r="A105" s="5">
        <v>119</v>
      </c>
      <c r="B105" s="7">
        <v>45432</v>
      </c>
      <c r="C105" s="5">
        <v>31</v>
      </c>
      <c r="D105" s="5" t="s">
        <v>25</v>
      </c>
      <c r="E105" s="5">
        <v>5088</v>
      </c>
      <c r="F105" s="5" t="s">
        <v>26</v>
      </c>
    </row>
    <row r="106" spans="1:6" x14ac:dyDescent="0.2">
      <c r="A106" s="5">
        <v>120</v>
      </c>
      <c r="B106" s="7">
        <v>45433</v>
      </c>
      <c r="C106" s="5">
        <v>32</v>
      </c>
      <c r="D106" s="5" t="s">
        <v>25</v>
      </c>
      <c r="E106" s="5">
        <v>437.81</v>
      </c>
      <c r="F106" s="5" t="s">
        <v>27</v>
      </c>
    </row>
    <row r="107" spans="1:6" x14ac:dyDescent="0.2">
      <c r="A107" s="5">
        <v>121</v>
      </c>
      <c r="B107" s="7">
        <v>45434</v>
      </c>
      <c r="C107" s="5">
        <v>33</v>
      </c>
      <c r="D107" s="5" t="s">
        <v>37</v>
      </c>
      <c r="E107" s="5">
        <v>538.48</v>
      </c>
      <c r="F107" s="5" t="s">
        <v>26</v>
      </c>
    </row>
    <row r="108" spans="1:6" x14ac:dyDescent="0.2">
      <c r="A108" s="5">
        <v>122</v>
      </c>
      <c r="B108" s="7">
        <v>45435</v>
      </c>
      <c r="C108" s="5">
        <v>34</v>
      </c>
      <c r="D108" s="5" t="s">
        <v>37</v>
      </c>
      <c r="E108" s="5">
        <v>209.8</v>
      </c>
      <c r="F108" s="5" t="s">
        <v>26</v>
      </c>
    </row>
    <row r="109" spans="1:6" x14ac:dyDescent="0.2">
      <c r="A109" s="5">
        <v>123</v>
      </c>
      <c r="B109" s="7">
        <v>45436</v>
      </c>
      <c r="C109" s="5">
        <v>35</v>
      </c>
      <c r="D109" s="5" t="s">
        <v>25</v>
      </c>
      <c r="E109" s="5">
        <v>3687.99</v>
      </c>
      <c r="F109" s="5" t="s">
        <v>26</v>
      </c>
    </row>
    <row r="110" spans="1:6" x14ac:dyDescent="0.2">
      <c r="A110" s="5">
        <v>124</v>
      </c>
      <c r="B110" s="7">
        <v>45437</v>
      </c>
      <c r="C110" s="5">
        <v>36</v>
      </c>
      <c r="D110" s="5" t="s">
        <v>25</v>
      </c>
      <c r="E110" s="5">
        <v>1338.98</v>
      </c>
      <c r="F110" s="5" t="s">
        <v>26</v>
      </c>
    </row>
    <row r="111" spans="1:6" x14ac:dyDescent="0.2">
      <c r="A111" s="5">
        <v>125</v>
      </c>
      <c r="B111" s="7">
        <v>45438</v>
      </c>
      <c r="C111" s="5">
        <v>37</v>
      </c>
      <c r="D111" s="5" t="s">
        <v>30</v>
      </c>
      <c r="E111" s="5">
        <v>708.39</v>
      </c>
      <c r="F111" s="5" t="s">
        <v>26</v>
      </c>
    </row>
    <row r="112" spans="1:6" x14ac:dyDescent="0.2">
      <c r="A112" s="5">
        <v>126</v>
      </c>
      <c r="B112" s="7">
        <v>45439</v>
      </c>
      <c r="C112" s="5">
        <v>38</v>
      </c>
      <c r="D112" s="5" t="s">
        <v>38</v>
      </c>
      <c r="E112" s="5">
        <v>459.98</v>
      </c>
      <c r="F112" s="5" t="s">
        <v>26</v>
      </c>
    </row>
    <row r="113" spans="1:6" x14ac:dyDescent="0.2">
      <c r="A113" s="5">
        <v>127</v>
      </c>
      <c r="B113" s="7">
        <v>45440</v>
      </c>
      <c r="C113" s="5">
        <v>39</v>
      </c>
      <c r="D113" s="5" t="s">
        <v>39</v>
      </c>
      <c r="E113" s="5">
        <v>1615.99</v>
      </c>
      <c r="F113" s="5" t="s">
        <v>26</v>
      </c>
    </row>
    <row r="114" spans="1:6" x14ac:dyDescent="0.2">
      <c r="A114" s="5">
        <v>128</v>
      </c>
      <c r="B114" s="7">
        <v>45441</v>
      </c>
      <c r="C114" s="5">
        <v>40</v>
      </c>
      <c r="D114" s="5" t="s">
        <v>25</v>
      </c>
      <c r="E114" s="5">
        <v>5048.8999999999996</v>
      </c>
      <c r="F114" s="5" t="s">
        <v>26</v>
      </c>
    </row>
    <row r="115" spans="1:6" x14ac:dyDescent="0.2">
      <c r="A115" s="5">
        <v>129</v>
      </c>
      <c r="B115" s="7">
        <v>45444</v>
      </c>
      <c r="C115" s="5">
        <v>1</v>
      </c>
      <c r="D115" s="5" t="s">
        <v>25</v>
      </c>
      <c r="E115" s="5">
        <v>99.5</v>
      </c>
      <c r="F115" s="5" t="s">
        <v>26</v>
      </c>
    </row>
    <row r="116" spans="1:6" x14ac:dyDescent="0.2">
      <c r="A116" s="5">
        <v>130</v>
      </c>
      <c r="B116" s="7">
        <v>45446</v>
      </c>
      <c r="C116" s="5">
        <v>2</v>
      </c>
      <c r="D116" s="5" t="s">
        <v>25</v>
      </c>
      <c r="E116" s="5">
        <v>289</v>
      </c>
      <c r="F116" s="5" t="s">
        <v>26</v>
      </c>
    </row>
    <row r="117" spans="1:6" x14ac:dyDescent="0.2">
      <c r="A117" s="5">
        <v>131</v>
      </c>
      <c r="B117" s="7">
        <v>45448</v>
      </c>
      <c r="C117" s="5">
        <v>3</v>
      </c>
      <c r="D117" s="5" t="s">
        <v>28</v>
      </c>
      <c r="E117" s="5">
        <v>934.98</v>
      </c>
      <c r="F117" s="5" t="s">
        <v>26</v>
      </c>
    </row>
    <row r="118" spans="1:6" x14ac:dyDescent="0.2">
      <c r="A118" s="5">
        <v>132</v>
      </c>
      <c r="B118" s="7">
        <v>45450</v>
      </c>
      <c r="C118" s="5">
        <v>4</v>
      </c>
      <c r="D118" s="5" t="s">
        <v>28</v>
      </c>
      <c r="E118" s="5">
        <v>2828.49</v>
      </c>
      <c r="F118" s="5" t="s">
        <v>26</v>
      </c>
    </row>
    <row r="119" spans="1:6" x14ac:dyDescent="0.2">
      <c r="A119" s="5">
        <v>133</v>
      </c>
      <c r="B119" s="7">
        <v>45452</v>
      </c>
      <c r="C119" s="5">
        <v>5</v>
      </c>
      <c r="D119" s="5" t="s">
        <v>29</v>
      </c>
      <c r="E119" s="5">
        <v>3697</v>
      </c>
      <c r="F119" s="5" t="s">
        <v>26</v>
      </c>
    </row>
    <row r="120" spans="1:6" x14ac:dyDescent="0.2">
      <c r="A120" s="5">
        <v>134</v>
      </c>
      <c r="B120" s="7">
        <v>45454</v>
      </c>
      <c r="C120" s="5">
        <v>6</v>
      </c>
      <c r="D120" s="5" t="s">
        <v>30</v>
      </c>
      <c r="E120" s="5">
        <v>676.39</v>
      </c>
      <c r="F120" s="5" t="s">
        <v>26</v>
      </c>
    </row>
    <row r="121" spans="1:6" x14ac:dyDescent="0.2">
      <c r="A121" s="5">
        <v>135</v>
      </c>
      <c r="B121" s="7">
        <v>45456</v>
      </c>
      <c r="C121" s="5">
        <v>7</v>
      </c>
      <c r="D121" s="5" t="s">
        <v>31</v>
      </c>
      <c r="E121" s="5">
        <v>3347.98</v>
      </c>
      <c r="F121" s="5" t="s">
        <v>26</v>
      </c>
    </row>
    <row r="122" spans="1:6" x14ac:dyDescent="0.2">
      <c r="A122" s="5">
        <v>136</v>
      </c>
      <c r="B122" s="7">
        <v>45458</v>
      </c>
      <c r="C122" s="5">
        <v>8</v>
      </c>
      <c r="D122" s="5" t="s">
        <v>25</v>
      </c>
      <c r="E122" s="5">
        <v>264.3</v>
      </c>
      <c r="F122" s="5" t="s">
        <v>26</v>
      </c>
    </row>
    <row r="123" spans="1:6" x14ac:dyDescent="0.2">
      <c r="A123" s="5">
        <v>137</v>
      </c>
      <c r="B123" s="7">
        <v>45460</v>
      </c>
      <c r="C123" s="5">
        <v>9</v>
      </c>
      <c r="D123" s="5" t="s">
        <v>25</v>
      </c>
      <c r="E123" s="5">
        <v>1178.97</v>
      </c>
      <c r="F123" s="5" t="s">
        <v>26</v>
      </c>
    </row>
    <row r="124" spans="1:6" x14ac:dyDescent="0.2">
      <c r="A124" s="5">
        <v>138</v>
      </c>
      <c r="B124" s="7">
        <v>45462</v>
      </c>
      <c r="C124" s="5">
        <v>10</v>
      </c>
      <c r="D124" s="5" t="s">
        <v>29</v>
      </c>
      <c r="E124" s="5">
        <v>958.19</v>
      </c>
      <c r="F124" s="5" t="s">
        <v>26</v>
      </c>
    </row>
    <row r="125" spans="1:6" x14ac:dyDescent="0.2">
      <c r="A125" s="5">
        <v>139</v>
      </c>
      <c r="B125" s="7">
        <v>45464</v>
      </c>
      <c r="C125" s="5">
        <v>11</v>
      </c>
      <c r="D125" s="5" t="s">
        <v>34</v>
      </c>
      <c r="E125" s="5">
        <v>1476.7</v>
      </c>
      <c r="F125" s="5" t="s">
        <v>26</v>
      </c>
    </row>
    <row r="126" spans="1:6" x14ac:dyDescent="0.2">
      <c r="A126" s="5">
        <v>140</v>
      </c>
      <c r="B126" s="7">
        <v>45466</v>
      </c>
      <c r="C126" s="5">
        <v>12</v>
      </c>
      <c r="D126" s="5" t="s">
        <v>28</v>
      </c>
      <c r="E126" s="5">
        <v>2146.9899999999998</v>
      </c>
      <c r="F126" s="5" t="s">
        <v>26</v>
      </c>
    </row>
    <row r="127" spans="1:6" x14ac:dyDescent="0.2">
      <c r="A127" s="5">
        <v>141</v>
      </c>
      <c r="B127" s="7">
        <v>45468</v>
      </c>
      <c r="C127" s="5">
        <v>13</v>
      </c>
      <c r="D127" s="5" t="s">
        <v>30</v>
      </c>
      <c r="E127" s="5">
        <v>444.89</v>
      </c>
      <c r="F127" s="5" t="s">
        <v>26</v>
      </c>
    </row>
    <row r="128" spans="1:6" x14ac:dyDescent="0.2">
      <c r="A128" s="5">
        <v>142</v>
      </c>
      <c r="B128" s="7">
        <v>45470</v>
      </c>
      <c r="C128" s="5">
        <v>14</v>
      </c>
      <c r="D128" s="5" t="s">
        <v>30</v>
      </c>
      <c r="E128" s="5">
        <v>169.7</v>
      </c>
      <c r="F128" s="5" t="s">
        <v>26</v>
      </c>
    </row>
    <row r="129" spans="1:6" x14ac:dyDescent="0.2">
      <c r="A129" s="5">
        <v>143</v>
      </c>
      <c r="B129" s="7">
        <v>45472</v>
      </c>
      <c r="C129" s="5">
        <v>15</v>
      </c>
      <c r="D129" s="5" t="s">
        <v>28</v>
      </c>
      <c r="E129" s="5">
        <v>1497.49</v>
      </c>
      <c r="F129" s="5" t="s">
        <v>26</v>
      </c>
    </row>
    <row r="130" spans="1:6" x14ac:dyDescent="0.2">
      <c r="A130" s="5">
        <v>144</v>
      </c>
      <c r="B130" s="7">
        <v>45475</v>
      </c>
      <c r="C130" s="5">
        <v>16</v>
      </c>
      <c r="D130" s="5" t="s">
        <v>32</v>
      </c>
      <c r="E130" s="5">
        <v>268.89</v>
      </c>
      <c r="F130" s="5" t="s">
        <v>26</v>
      </c>
    </row>
    <row r="131" spans="1:6" x14ac:dyDescent="0.2">
      <c r="A131" s="5">
        <v>145</v>
      </c>
      <c r="B131" s="7">
        <v>45477</v>
      </c>
      <c r="C131" s="5">
        <v>17</v>
      </c>
      <c r="D131" s="5" t="s">
        <v>31</v>
      </c>
      <c r="E131" s="5">
        <v>458.98</v>
      </c>
      <c r="F131" s="5" t="s">
        <v>26</v>
      </c>
    </row>
    <row r="132" spans="1:6" x14ac:dyDescent="0.2">
      <c r="A132" s="5">
        <v>146</v>
      </c>
      <c r="B132" s="7">
        <v>45479</v>
      </c>
      <c r="C132" s="5">
        <v>18</v>
      </c>
      <c r="D132" s="5" t="s">
        <v>29</v>
      </c>
      <c r="E132" s="5">
        <v>6176.39</v>
      </c>
      <c r="F132" s="5" t="s">
        <v>26</v>
      </c>
    </row>
    <row r="133" spans="1:6" x14ac:dyDescent="0.2">
      <c r="A133" s="5">
        <v>147</v>
      </c>
      <c r="B133" s="7">
        <v>45481</v>
      </c>
      <c r="C133" s="5">
        <v>19</v>
      </c>
      <c r="D133" s="5" t="s">
        <v>33</v>
      </c>
      <c r="E133" s="5">
        <v>5898.99</v>
      </c>
      <c r="F133" s="5" t="s">
        <v>26</v>
      </c>
    </row>
    <row r="134" spans="1:6" x14ac:dyDescent="0.2">
      <c r="A134" s="5">
        <v>148</v>
      </c>
      <c r="B134" s="7">
        <v>45483</v>
      </c>
      <c r="C134" s="5">
        <v>20</v>
      </c>
      <c r="D134" s="5" t="s">
        <v>30</v>
      </c>
      <c r="E134" s="5">
        <v>1837.89</v>
      </c>
      <c r="F134" s="5" t="s">
        <v>26</v>
      </c>
    </row>
    <row r="135" spans="1:6" x14ac:dyDescent="0.2">
      <c r="A135" s="5">
        <v>149</v>
      </c>
      <c r="B135" s="7">
        <v>45506</v>
      </c>
      <c r="C135" s="5">
        <v>21</v>
      </c>
      <c r="D135" s="5" t="s">
        <v>28</v>
      </c>
      <c r="E135" s="5">
        <v>5278.4</v>
      </c>
      <c r="F135" s="5" t="s">
        <v>26</v>
      </c>
    </row>
    <row r="136" spans="1:6" x14ac:dyDescent="0.2">
      <c r="A136" s="5">
        <v>150</v>
      </c>
      <c r="B136" s="7">
        <v>45508</v>
      </c>
      <c r="C136" s="5">
        <v>22</v>
      </c>
      <c r="D136" s="5" t="s">
        <v>25</v>
      </c>
      <c r="E136" s="5">
        <v>169.4</v>
      </c>
      <c r="F136" s="5" t="s">
        <v>26</v>
      </c>
    </row>
    <row r="137" spans="1:6" x14ac:dyDescent="0.2">
      <c r="A137" s="5">
        <v>151</v>
      </c>
      <c r="B137" s="7">
        <v>45510</v>
      </c>
      <c r="C137" s="5">
        <v>23</v>
      </c>
      <c r="D137" s="5" t="s">
        <v>29</v>
      </c>
      <c r="E137" s="5">
        <v>349.6</v>
      </c>
      <c r="F137" s="5" t="s">
        <v>26</v>
      </c>
    </row>
    <row r="138" spans="1:6" x14ac:dyDescent="0.2">
      <c r="A138" s="5">
        <v>152</v>
      </c>
      <c r="B138" s="7">
        <v>45512</v>
      </c>
      <c r="C138" s="5">
        <v>24</v>
      </c>
      <c r="D138" s="5" t="s">
        <v>25</v>
      </c>
      <c r="E138" s="5">
        <v>201.81</v>
      </c>
      <c r="F138" s="5" t="s">
        <v>27</v>
      </c>
    </row>
    <row r="139" spans="1:6" x14ac:dyDescent="0.2">
      <c r="A139" s="5">
        <v>153</v>
      </c>
      <c r="B139" s="7">
        <v>45514</v>
      </c>
      <c r="C139" s="5">
        <v>25</v>
      </c>
      <c r="D139" s="5" t="s">
        <v>25</v>
      </c>
      <c r="E139" s="5">
        <v>523.89</v>
      </c>
      <c r="F139" s="5" t="s">
        <v>26</v>
      </c>
    </row>
    <row r="140" spans="1:6" x14ac:dyDescent="0.2">
      <c r="A140" s="5">
        <v>154</v>
      </c>
      <c r="B140" s="7">
        <v>45516</v>
      </c>
      <c r="C140" s="5">
        <v>26</v>
      </c>
      <c r="D140" s="5" t="s">
        <v>35</v>
      </c>
      <c r="E140" s="5">
        <v>1159.3900000000001</v>
      </c>
      <c r="F140" s="5" t="s">
        <v>26</v>
      </c>
    </row>
    <row r="141" spans="1:6" x14ac:dyDescent="0.2">
      <c r="A141" s="5">
        <v>155</v>
      </c>
      <c r="B141" s="7">
        <v>45518</v>
      </c>
      <c r="C141" s="5">
        <v>27</v>
      </c>
      <c r="D141" s="5" t="s">
        <v>28</v>
      </c>
      <c r="E141" s="5">
        <v>408.49</v>
      </c>
      <c r="F141" s="5" t="s">
        <v>26</v>
      </c>
    </row>
    <row r="142" spans="1:6" x14ac:dyDescent="0.2">
      <c r="A142" s="5">
        <v>156</v>
      </c>
      <c r="B142" s="7">
        <v>45520</v>
      </c>
      <c r="C142" s="5">
        <v>28</v>
      </c>
      <c r="D142" s="5" t="s">
        <v>28</v>
      </c>
      <c r="E142" s="5">
        <v>1558.47</v>
      </c>
      <c r="F142" s="5" t="s">
        <v>26</v>
      </c>
    </row>
    <row r="143" spans="1:6" x14ac:dyDescent="0.2">
      <c r="A143" s="5">
        <v>157</v>
      </c>
      <c r="B143" s="7">
        <v>45522</v>
      </c>
      <c r="C143" s="5">
        <v>29</v>
      </c>
      <c r="D143" s="5" t="s">
        <v>28</v>
      </c>
      <c r="E143" s="5">
        <v>207.99</v>
      </c>
      <c r="F143" s="5" t="s">
        <v>26</v>
      </c>
    </row>
    <row r="144" spans="1:6" x14ac:dyDescent="0.2">
      <c r="A144" s="5">
        <v>158</v>
      </c>
      <c r="B144" s="7">
        <v>45524</v>
      </c>
      <c r="C144" s="5">
        <v>30</v>
      </c>
      <c r="D144" s="5" t="s">
        <v>36</v>
      </c>
      <c r="E144" s="5">
        <v>524.89</v>
      </c>
      <c r="F144" s="5" t="s">
        <v>27</v>
      </c>
    </row>
    <row r="145" spans="1:6" x14ac:dyDescent="0.2">
      <c r="A145" s="5">
        <v>159</v>
      </c>
      <c r="B145" s="7">
        <v>45536</v>
      </c>
      <c r="C145" s="5">
        <v>31</v>
      </c>
      <c r="D145" s="5" t="s">
        <v>25</v>
      </c>
      <c r="E145" s="5">
        <v>119.88</v>
      </c>
      <c r="F145" s="5" t="s">
        <v>26</v>
      </c>
    </row>
    <row r="146" spans="1:6" x14ac:dyDescent="0.2">
      <c r="A146" s="5">
        <v>160</v>
      </c>
      <c r="B146" s="7">
        <v>45538</v>
      </c>
      <c r="C146" s="5">
        <v>32</v>
      </c>
      <c r="D146" s="5" t="s">
        <v>25</v>
      </c>
      <c r="E146" s="5">
        <v>7697.5</v>
      </c>
      <c r="F146" s="5" t="s">
        <v>26</v>
      </c>
    </row>
    <row r="147" spans="1:6" x14ac:dyDescent="0.2">
      <c r="A147" s="5">
        <v>161</v>
      </c>
      <c r="B147" s="7">
        <v>45540</v>
      </c>
      <c r="C147" s="5">
        <v>33</v>
      </c>
      <c r="D147" s="5" t="s">
        <v>37</v>
      </c>
      <c r="E147" s="5">
        <v>234.7</v>
      </c>
      <c r="F147" s="5" t="s">
        <v>26</v>
      </c>
    </row>
    <row r="148" spans="1:6" x14ac:dyDescent="0.2">
      <c r="A148" s="5">
        <v>162</v>
      </c>
      <c r="B148" s="7">
        <v>45542</v>
      </c>
      <c r="C148" s="5">
        <v>34</v>
      </c>
      <c r="D148" s="5" t="s">
        <v>37</v>
      </c>
      <c r="E148" s="5">
        <v>259.27999999999997</v>
      </c>
      <c r="F148" s="5" t="s">
        <v>26</v>
      </c>
    </row>
    <row r="149" spans="1:6" x14ac:dyDescent="0.2">
      <c r="A149" s="5">
        <v>163</v>
      </c>
      <c r="B149" s="7">
        <v>45544</v>
      </c>
      <c r="C149" s="5">
        <v>35</v>
      </c>
      <c r="D149" s="5" t="s">
        <v>25</v>
      </c>
      <c r="E149" s="5">
        <v>179.49</v>
      </c>
      <c r="F149" s="5" t="s">
        <v>26</v>
      </c>
    </row>
    <row r="150" spans="1:6" x14ac:dyDescent="0.2">
      <c r="A150" s="5">
        <v>164</v>
      </c>
      <c r="B150" s="7">
        <v>45546</v>
      </c>
      <c r="C150" s="5">
        <v>36</v>
      </c>
      <c r="D150" s="5" t="s">
        <v>25</v>
      </c>
      <c r="E150" s="5">
        <v>1358.89</v>
      </c>
      <c r="F150" s="5" t="s">
        <v>26</v>
      </c>
    </row>
    <row r="151" spans="1:6" x14ac:dyDescent="0.2">
      <c r="A151" s="5">
        <v>165</v>
      </c>
      <c r="B151" s="7">
        <v>45548</v>
      </c>
      <c r="C151" s="5">
        <v>37</v>
      </c>
      <c r="D151" s="5" t="s">
        <v>30</v>
      </c>
      <c r="E151" s="5">
        <v>3438.98</v>
      </c>
      <c r="F151" s="5" t="s">
        <v>26</v>
      </c>
    </row>
    <row r="152" spans="1:6" x14ac:dyDescent="0.2">
      <c r="A152" s="5">
        <v>166</v>
      </c>
      <c r="B152" s="7">
        <v>45550</v>
      </c>
      <c r="C152" s="5">
        <v>38</v>
      </c>
      <c r="D152" s="5" t="s">
        <v>38</v>
      </c>
      <c r="E152" s="5">
        <v>573.88</v>
      </c>
      <c r="F152" s="5" t="s">
        <v>26</v>
      </c>
    </row>
    <row r="153" spans="1:6" x14ac:dyDescent="0.2">
      <c r="A153" s="5">
        <v>167</v>
      </c>
      <c r="B153" s="7">
        <v>45552</v>
      </c>
      <c r="C153" s="5">
        <v>39</v>
      </c>
      <c r="D153" s="5" t="s">
        <v>39</v>
      </c>
      <c r="E153" s="5">
        <v>497.99</v>
      </c>
      <c r="F153" s="5" t="s">
        <v>26</v>
      </c>
    </row>
    <row r="154" spans="1:6" x14ac:dyDescent="0.2">
      <c r="A154" s="5">
        <v>168</v>
      </c>
      <c r="B154" s="7">
        <v>45554</v>
      </c>
      <c r="C154" s="5">
        <v>40</v>
      </c>
      <c r="D154" s="5" t="s">
        <v>25</v>
      </c>
      <c r="E154" s="5">
        <v>139.79</v>
      </c>
      <c r="F154" s="5" t="s">
        <v>26</v>
      </c>
    </row>
    <row r="155" spans="1:6" x14ac:dyDescent="0.2">
      <c r="A155" s="5">
        <v>169</v>
      </c>
      <c r="B155" s="7">
        <v>45566</v>
      </c>
      <c r="C155" s="5">
        <v>1</v>
      </c>
      <c r="D155" s="5" t="s">
        <v>25</v>
      </c>
      <c r="E155" s="5">
        <v>492.9</v>
      </c>
      <c r="F155" s="5" t="s">
        <v>26</v>
      </c>
    </row>
    <row r="156" spans="1:6" x14ac:dyDescent="0.2">
      <c r="A156" s="5">
        <v>170</v>
      </c>
      <c r="B156" s="7">
        <v>45568</v>
      </c>
      <c r="C156" s="5">
        <v>2</v>
      </c>
      <c r="D156" s="5" t="s">
        <v>25</v>
      </c>
      <c r="E156" s="5">
        <v>747.5</v>
      </c>
      <c r="F156" s="5" t="s">
        <v>26</v>
      </c>
    </row>
    <row r="157" spans="1:6" x14ac:dyDescent="0.2">
      <c r="A157" s="5">
        <v>171</v>
      </c>
      <c r="B157" s="7">
        <v>45570</v>
      </c>
      <c r="C157" s="5">
        <v>3</v>
      </c>
      <c r="D157" s="5" t="s">
        <v>28</v>
      </c>
      <c r="E157" s="5">
        <v>1099.49</v>
      </c>
      <c r="F157" s="5" t="s">
        <v>26</v>
      </c>
    </row>
    <row r="158" spans="1:6" x14ac:dyDescent="0.2">
      <c r="A158" s="5">
        <v>172</v>
      </c>
      <c r="B158" s="7">
        <v>45572</v>
      </c>
      <c r="C158" s="5">
        <v>4</v>
      </c>
      <c r="D158" s="5" t="s">
        <v>28</v>
      </c>
      <c r="E158" s="5">
        <v>5887.8</v>
      </c>
      <c r="F158" s="5" t="s">
        <v>26</v>
      </c>
    </row>
    <row r="159" spans="1:6" x14ac:dyDescent="0.2">
      <c r="A159" s="5">
        <v>173</v>
      </c>
      <c r="B159" s="7">
        <v>45574</v>
      </c>
      <c r="C159" s="5">
        <v>5</v>
      </c>
      <c r="D159" s="5" t="s">
        <v>29</v>
      </c>
      <c r="E159" s="5">
        <v>5128.99</v>
      </c>
      <c r="F159" s="5" t="s">
        <v>26</v>
      </c>
    </row>
    <row r="160" spans="1:6" x14ac:dyDescent="0.2">
      <c r="A160" s="5">
        <v>174</v>
      </c>
      <c r="B160" s="7">
        <v>45576</v>
      </c>
      <c r="C160" s="5">
        <v>6</v>
      </c>
      <c r="D160" s="5" t="s">
        <v>30</v>
      </c>
      <c r="E160" s="5">
        <v>513.9</v>
      </c>
      <c r="F160" s="5" t="s">
        <v>26</v>
      </c>
    </row>
    <row r="161" spans="1:6" x14ac:dyDescent="0.2">
      <c r="A161" s="5">
        <v>175</v>
      </c>
      <c r="B161" s="7">
        <v>45578</v>
      </c>
      <c r="C161" s="5">
        <v>7</v>
      </c>
      <c r="D161" s="5" t="s">
        <v>31</v>
      </c>
      <c r="E161" s="5">
        <v>50.99</v>
      </c>
      <c r="F161" s="5" t="s">
        <v>26</v>
      </c>
    </row>
    <row r="162" spans="1:6" x14ac:dyDescent="0.2">
      <c r="A162" s="5">
        <v>176</v>
      </c>
      <c r="B162" s="7">
        <v>45580</v>
      </c>
      <c r="C162" s="5">
        <v>8</v>
      </c>
      <c r="D162" s="5" t="s">
        <v>25</v>
      </c>
      <c r="E162" s="5">
        <v>5328.99</v>
      </c>
      <c r="F162" s="5" t="s">
        <v>26</v>
      </c>
    </row>
    <row r="163" spans="1:6" x14ac:dyDescent="0.2">
      <c r="A163" s="5">
        <v>177</v>
      </c>
      <c r="B163" s="7">
        <v>45582</v>
      </c>
      <c r="C163" s="5">
        <v>9</v>
      </c>
      <c r="D163" s="5" t="s">
        <v>25</v>
      </c>
      <c r="E163" s="5">
        <v>108.5</v>
      </c>
      <c r="F163" s="5" t="s">
        <v>26</v>
      </c>
    </row>
    <row r="164" spans="1:6" x14ac:dyDescent="0.2">
      <c r="A164" s="5">
        <v>178</v>
      </c>
      <c r="B164" s="7">
        <v>45584</v>
      </c>
      <c r="C164" s="5">
        <v>10</v>
      </c>
      <c r="D164" s="5" t="s">
        <v>29</v>
      </c>
      <c r="E164" s="5">
        <v>978.99</v>
      </c>
      <c r="F164" s="5" t="s">
        <v>26</v>
      </c>
    </row>
    <row r="165" spans="1:6" x14ac:dyDescent="0.2">
      <c r="A165" s="5">
        <v>179</v>
      </c>
      <c r="B165" s="7">
        <v>45601</v>
      </c>
      <c r="C165" s="5">
        <v>11</v>
      </c>
      <c r="D165" s="5" t="s">
        <v>34</v>
      </c>
      <c r="E165" s="5">
        <v>1207.49</v>
      </c>
      <c r="F165" s="5" t="s">
        <v>26</v>
      </c>
    </row>
    <row r="166" spans="1:6" x14ac:dyDescent="0.2">
      <c r="A166" s="5">
        <v>180</v>
      </c>
      <c r="B166" s="7">
        <v>45604</v>
      </c>
      <c r="C166" s="5">
        <v>12</v>
      </c>
      <c r="D166" s="5" t="s">
        <v>28</v>
      </c>
      <c r="E166" s="5">
        <v>89.5</v>
      </c>
      <c r="F166" s="5" t="s">
        <v>26</v>
      </c>
    </row>
    <row r="167" spans="1:6" x14ac:dyDescent="0.2">
      <c r="A167" s="5">
        <v>181</v>
      </c>
      <c r="B167" s="7">
        <v>45607</v>
      </c>
      <c r="C167" s="5">
        <v>13</v>
      </c>
      <c r="D167" s="5" t="s">
        <v>30</v>
      </c>
      <c r="E167" s="5">
        <v>2314.1799999999998</v>
      </c>
      <c r="F167" s="5" t="s">
        <v>27</v>
      </c>
    </row>
    <row r="168" spans="1:6" x14ac:dyDescent="0.2">
      <c r="A168" s="5">
        <v>182</v>
      </c>
      <c r="B168" s="7">
        <v>45611</v>
      </c>
      <c r="C168" s="5">
        <v>14</v>
      </c>
      <c r="D168" s="5" t="s">
        <v>30</v>
      </c>
      <c r="E168" s="5">
        <v>5036.2</v>
      </c>
      <c r="F168" s="5" t="s">
        <v>27</v>
      </c>
    </row>
    <row r="169" spans="1:6" x14ac:dyDescent="0.2">
      <c r="A169" s="5">
        <v>183</v>
      </c>
      <c r="B169" s="7">
        <v>45616</v>
      </c>
      <c r="C169" s="5">
        <v>15</v>
      </c>
      <c r="D169" s="5" t="s">
        <v>28</v>
      </c>
      <c r="E169" s="5">
        <v>339.15</v>
      </c>
      <c r="F169" s="5" t="s">
        <v>27</v>
      </c>
    </row>
    <row r="170" spans="1:6" x14ac:dyDescent="0.2">
      <c r="A170" s="5">
        <v>184</v>
      </c>
      <c r="B170" s="7">
        <v>45628</v>
      </c>
      <c r="C170" s="5">
        <v>16</v>
      </c>
      <c r="D170" s="5" t="s">
        <v>32</v>
      </c>
      <c r="E170" s="5">
        <v>2707.98</v>
      </c>
      <c r="F170" s="5" t="s">
        <v>26</v>
      </c>
    </row>
    <row r="171" spans="1:6" x14ac:dyDescent="0.2">
      <c r="A171" s="5">
        <v>185</v>
      </c>
      <c r="B171" s="7">
        <v>45631</v>
      </c>
      <c r="C171" s="5">
        <v>17</v>
      </c>
      <c r="D171" s="5" t="s">
        <v>31</v>
      </c>
      <c r="E171" s="5">
        <v>547.9</v>
      </c>
      <c r="F171" s="5" t="s">
        <v>26</v>
      </c>
    </row>
    <row r="172" spans="1:6" x14ac:dyDescent="0.2">
      <c r="A172" s="5">
        <v>186</v>
      </c>
      <c r="B172" s="7">
        <v>45634</v>
      </c>
      <c r="C172" s="5">
        <v>18</v>
      </c>
      <c r="D172" s="5" t="s">
        <v>29</v>
      </c>
      <c r="E172" s="5">
        <v>458.89</v>
      </c>
      <c r="F172" s="5" t="s">
        <v>26</v>
      </c>
    </row>
    <row r="173" spans="1:6" x14ac:dyDescent="0.2">
      <c r="A173" s="5">
        <v>187</v>
      </c>
      <c r="B173" s="7">
        <v>45638</v>
      </c>
      <c r="C173" s="5">
        <v>19</v>
      </c>
      <c r="D173" s="5" t="s">
        <v>33</v>
      </c>
      <c r="E173" s="5">
        <v>1346.5</v>
      </c>
      <c r="F173" s="5" t="s">
        <v>26</v>
      </c>
    </row>
    <row r="174" spans="1:6" x14ac:dyDescent="0.2">
      <c r="A174" s="5">
        <v>188</v>
      </c>
      <c r="B174" s="7">
        <v>45644</v>
      </c>
      <c r="C174" s="5">
        <v>20</v>
      </c>
      <c r="D174" s="5" t="s">
        <v>30</v>
      </c>
      <c r="E174" s="5">
        <v>568.98</v>
      </c>
      <c r="F174" s="5" t="s">
        <v>26</v>
      </c>
    </row>
    <row r="175" spans="1:6" x14ac:dyDescent="0.2">
      <c r="A175" s="5">
        <v>189</v>
      </c>
      <c r="B175" s="7">
        <v>45646</v>
      </c>
      <c r="C175" s="5">
        <v>21</v>
      </c>
      <c r="D175" s="5" t="s">
        <v>28</v>
      </c>
      <c r="E175" s="5">
        <v>406.5</v>
      </c>
      <c r="F175" s="5" t="s">
        <v>26</v>
      </c>
    </row>
    <row r="176" spans="1:6" x14ac:dyDescent="0.2">
      <c r="A176" s="5">
        <v>190</v>
      </c>
      <c r="B176" s="7">
        <v>45647</v>
      </c>
      <c r="C176" s="5">
        <v>22</v>
      </c>
      <c r="D176" s="5" t="s">
        <v>25</v>
      </c>
      <c r="E176" s="5">
        <v>4999</v>
      </c>
      <c r="F176" s="5" t="s">
        <v>26</v>
      </c>
    </row>
    <row r="177" spans="1:6" x14ac:dyDescent="0.2">
      <c r="A177" s="5">
        <v>191</v>
      </c>
      <c r="B177" s="7">
        <v>45648</v>
      </c>
      <c r="C177" s="5">
        <v>23</v>
      </c>
      <c r="D177" s="5" t="s">
        <v>29</v>
      </c>
      <c r="E177" s="5">
        <v>1448.49</v>
      </c>
      <c r="F177" s="5" t="s">
        <v>26</v>
      </c>
    </row>
    <row r="178" spans="1:6" x14ac:dyDescent="0.2">
      <c r="A178" s="5">
        <v>192</v>
      </c>
      <c r="B178" s="7">
        <v>45649</v>
      </c>
      <c r="C178" s="5">
        <v>24</v>
      </c>
      <c r="D178" s="5" t="s">
        <v>25</v>
      </c>
      <c r="E178" s="5">
        <v>697.9</v>
      </c>
      <c r="F178" s="5" t="s">
        <v>26</v>
      </c>
    </row>
    <row r="179" spans="1:6" x14ac:dyDescent="0.2">
      <c r="A179" s="5">
        <v>193</v>
      </c>
      <c r="B179" s="7">
        <v>45653</v>
      </c>
      <c r="C179" s="5">
        <v>25</v>
      </c>
      <c r="D179" s="5" t="s">
        <v>25</v>
      </c>
      <c r="E179" s="5">
        <v>553.79</v>
      </c>
      <c r="F179" s="5" t="s">
        <v>26</v>
      </c>
    </row>
    <row r="180" spans="1:6" x14ac:dyDescent="0.2">
      <c r="A180" s="5">
        <v>194</v>
      </c>
      <c r="B180" s="7">
        <v>45654</v>
      </c>
      <c r="C180" s="5">
        <v>26</v>
      </c>
      <c r="D180" s="5" t="s">
        <v>35</v>
      </c>
      <c r="E180" s="5">
        <v>89.5</v>
      </c>
      <c r="F180" s="5" t="s">
        <v>26</v>
      </c>
    </row>
    <row r="181" spans="1:6" x14ac:dyDescent="0.2">
      <c r="A181" s="5">
        <v>195</v>
      </c>
      <c r="B181" s="7">
        <v>45654</v>
      </c>
      <c r="C181" s="5">
        <v>27</v>
      </c>
      <c r="D181" s="5" t="s">
        <v>28</v>
      </c>
      <c r="E181" s="5">
        <v>528</v>
      </c>
      <c r="F181" s="5" t="s">
        <v>26</v>
      </c>
    </row>
    <row r="182" spans="1:6" x14ac:dyDescent="0.2">
      <c r="A182" s="5">
        <v>196</v>
      </c>
      <c r="B182" s="7">
        <v>45655</v>
      </c>
      <c r="C182" s="5">
        <v>28</v>
      </c>
      <c r="D182" s="5" t="s">
        <v>28</v>
      </c>
      <c r="E182" s="5">
        <v>188.3</v>
      </c>
      <c r="F182" s="5" t="s">
        <v>26</v>
      </c>
    </row>
    <row r="183" spans="1:6" x14ac:dyDescent="0.2">
      <c r="A183" s="5">
        <v>197</v>
      </c>
      <c r="B183" s="7">
        <v>45655</v>
      </c>
      <c r="C183" s="5">
        <v>29</v>
      </c>
      <c r="D183" s="5" t="s">
        <v>28</v>
      </c>
      <c r="E183" s="5">
        <v>506.9</v>
      </c>
      <c r="F183" s="5" t="s">
        <v>26</v>
      </c>
    </row>
    <row r="184" spans="1:6" x14ac:dyDescent="0.2">
      <c r="A184" s="5">
        <v>198</v>
      </c>
      <c r="B184" s="7">
        <v>45656</v>
      </c>
      <c r="C184" s="5">
        <v>30</v>
      </c>
      <c r="D184" s="5" t="s">
        <v>36</v>
      </c>
      <c r="E184" s="5">
        <v>1078.49</v>
      </c>
      <c r="F184" s="5" t="s">
        <v>26</v>
      </c>
    </row>
    <row r="185" spans="1:6" x14ac:dyDescent="0.2">
      <c r="A185" s="5">
        <v>199</v>
      </c>
      <c r="B185" s="7">
        <v>45656</v>
      </c>
      <c r="C185" s="5">
        <v>31</v>
      </c>
      <c r="D185" s="5" t="s">
        <v>25</v>
      </c>
      <c r="E185" s="5">
        <v>6327.99</v>
      </c>
      <c r="F185" s="5" t="s">
        <v>26</v>
      </c>
    </row>
    <row r="186" spans="1:6" x14ac:dyDescent="0.2">
      <c r="A186" s="5">
        <v>200</v>
      </c>
      <c r="B186" s="7">
        <v>45657</v>
      </c>
      <c r="C186" s="5">
        <v>32</v>
      </c>
      <c r="D186" s="5" t="s">
        <v>25</v>
      </c>
      <c r="E186" s="5">
        <v>1228.3900000000001</v>
      </c>
      <c r="F186" s="5" t="s">
        <v>26</v>
      </c>
    </row>
    <row r="188" spans="1:6" ht="18" x14ac:dyDescent="0.25">
      <c r="A188" s="56" t="s">
        <v>115</v>
      </c>
      <c r="B188" s="56"/>
      <c r="C188" s="56"/>
      <c r="D188" s="56"/>
      <c r="E188" s="56"/>
    </row>
    <row r="189" spans="1:6" x14ac:dyDescent="0.2">
      <c r="A189" s="5" t="s">
        <v>21</v>
      </c>
      <c r="B189" s="5" t="s">
        <v>40</v>
      </c>
      <c r="C189" s="5" t="s">
        <v>41</v>
      </c>
      <c r="D189" s="5" t="s">
        <v>42</v>
      </c>
      <c r="E189" s="5" t="s">
        <v>43</v>
      </c>
    </row>
    <row r="190" spans="1:6" x14ac:dyDescent="0.2">
      <c r="A190" s="5">
        <v>6</v>
      </c>
      <c r="B190" s="5" t="s">
        <v>30</v>
      </c>
      <c r="C190" s="5">
        <v>6</v>
      </c>
      <c r="D190" s="5">
        <v>21514.95</v>
      </c>
      <c r="E190" s="5" t="s">
        <v>27</v>
      </c>
    </row>
    <row r="191" spans="1:6" x14ac:dyDescent="0.2">
      <c r="A191" s="5">
        <v>4</v>
      </c>
      <c r="B191" s="5" t="s">
        <v>28</v>
      </c>
      <c r="C191" s="5">
        <v>5</v>
      </c>
      <c r="D191" s="5">
        <v>20683.37</v>
      </c>
      <c r="E191" s="5" t="s">
        <v>26</v>
      </c>
    </row>
    <row r="192" spans="1:6" x14ac:dyDescent="0.2">
      <c r="A192" s="5">
        <v>5</v>
      </c>
      <c r="B192" s="5" t="s">
        <v>29</v>
      </c>
      <c r="C192" s="5">
        <v>6</v>
      </c>
      <c r="D192" s="5">
        <v>19364.11</v>
      </c>
      <c r="E192" s="5" t="s">
        <v>27</v>
      </c>
    </row>
    <row r="193" spans="1:5" x14ac:dyDescent="0.2">
      <c r="A193" s="5">
        <v>8</v>
      </c>
      <c r="B193" s="5" t="s">
        <v>25</v>
      </c>
      <c r="C193" s="5">
        <v>6</v>
      </c>
      <c r="D193" s="5">
        <v>16341.55</v>
      </c>
      <c r="E193" s="5" t="s">
        <v>26</v>
      </c>
    </row>
    <row r="194" spans="1:5" x14ac:dyDescent="0.2">
      <c r="A194" s="5">
        <v>7</v>
      </c>
      <c r="B194" s="5" t="s">
        <v>31</v>
      </c>
      <c r="C194" s="5">
        <v>6</v>
      </c>
      <c r="D194" s="5">
        <v>15460.93</v>
      </c>
      <c r="E194" s="5" t="s">
        <v>27</v>
      </c>
    </row>
    <row r="195" spans="1:5" x14ac:dyDescent="0.2">
      <c r="A195" s="5">
        <v>24</v>
      </c>
      <c r="B195" s="5" t="s">
        <v>25</v>
      </c>
      <c r="C195" s="5">
        <v>6</v>
      </c>
      <c r="D195" s="5">
        <v>12635.58</v>
      </c>
      <c r="E195" s="5" t="s">
        <v>27</v>
      </c>
    </row>
    <row r="196" spans="1:5" x14ac:dyDescent="0.2">
      <c r="A196" s="5">
        <v>16</v>
      </c>
      <c r="B196" s="5" t="s">
        <v>32</v>
      </c>
      <c r="C196" s="5">
        <v>6</v>
      </c>
      <c r="D196" s="5">
        <v>12542.61</v>
      </c>
      <c r="E196" s="5" t="s">
        <v>26</v>
      </c>
    </row>
    <row r="197" spans="1:5" x14ac:dyDescent="0.2">
      <c r="A197" s="5">
        <v>31</v>
      </c>
      <c r="B197" s="5" t="s">
        <v>36</v>
      </c>
      <c r="C197" s="5">
        <v>4</v>
      </c>
      <c r="D197" s="5">
        <v>12384.66</v>
      </c>
      <c r="E197" s="5" t="s">
        <v>26</v>
      </c>
    </row>
    <row r="198" spans="1:5" x14ac:dyDescent="0.2">
      <c r="A198" s="5">
        <v>14</v>
      </c>
      <c r="B198" s="5" t="s">
        <v>30</v>
      </c>
      <c r="C198" s="5">
        <v>6</v>
      </c>
      <c r="D198" s="5">
        <v>11653.36</v>
      </c>
      <c r="E198" s="5" t="s">
        <v>27</v>
      </c>
    </row>
    <row r="199" spans="1:5" x14ac:dyDescent="0.2">
      <c r="A199" s="5">
        <v>32</v>
      </c>
      <c r="B199" s="5" t="s">
        <v>28</v>
      </c>
      <c r="C199" s="5">
        <v>4</v>
      </c>
      <c r="D199" s="5">
        <v>9902.18</v>
      </c>
      <c r="E199" s="5" t="s">
        <v>27</v>
      </c>
    </row>
    <row r="200" spans="1:5" x14ac:dyDescent="0.2">
      <c r="A200" s="5">
        <v>23</v>
      </c>
      <c r="B200" s="5" t="s">
        <v>29</v>
      </c>
      <c r="C200" s="5">
        <v>6</v>
      </c>
      <c r="D200" s="5">
        <v>8525.74</v>
      </c>
      <c r="E200" s="5" t="s">
        <v>26</v>
      </c>
    </row>
    <row r="201" spans="1:5" x14ac:dyDescent="0.2">
      <c r="A201" s="5">
        <v>15</v>
      </c>
      <c r="B201" s="5" t="s">
        <v>28</v>
      </c>
      <c r="C201" s="5">
        <v>6</v>
      </c>
      <c r="D201" s="5">
        <v>8481.2800000000007</v>
      </c>
      <c r="E201" s="5" t="s">
        <v>27</v>
      </c>
    </row>
    <row r="202" spans="1:5" x14ac:dyDescent="0.2">
      <c r="A202" s="5">
        <v>39</v>
      </c>
      <c r="B202" s="5" t="s">
        <v>38</v>
      </c>
      <c r="C202" s="5">
        <v>3</v>
      </c>
      <c r="D202" s="5">
        <v>8421.8700000000008</v>
      </c>
      <c r="E202" s="5" t="s">
        <v>26</v>
      </c>
    </row>
    <row r="203" spans="1:5" x14ac:dyDescent="0.2">
      <c r="A203" s="5">
        <v>19</v>
      </c>
      <c r="B203" s="5" t="s">
        <v>33</v>
      </c>
      <c r="C203" s="5">
        <v>6</v>
      </c>
      <c r="D203" s="5">
        <v>8190.58</v>
      </c>
      <c r="E203" s="5" t="s">
        <v>27</v>
      </c>
    </row>
    <row r="204" spans="1:5" x14ac:dyDescent="0.2">
      <c r="A204" s="5">
        <v>21</v>
      </c>
      <c r="B204" s="5" t="s">
        <v>28</v>
      </c>
      <c r="C204" s="5">
        <v>6</v>
      </c>
      <c r="D204" s="5">
        <v>7908.67</v>
      </c>
      <c r="E204" s="5" t="s">
        <v>26</v>
      </c>
    </row>
    <row r="205" spans="1:5" x14ac:dyDescent="0.2">
      <c r="A205" s="5">
        <v>18</v>
      </c>
      <c r="B205" s="5" t="s">
        <v>29</v>
      </c>
      <c r="C205" s="5">
        <v>6</v>
      </c>
      <c r="D205" s="5">
        <v>7787.46</v>
      </c>
      <c r="E205" s="5" t="s">
        <v>27</v>
      </c>
    </row>
    <row r="206" spans="1:5" x14ac:dyDescent="0.2">
      <c r="A206" s="5">
        <v>3</v>
      </c>
      <c r="B206" s="5" t="s">
        <v>28</v>
      </c>
      <c r="C206" s="5">
        <v>6</v>
      </c>
      <c r="D206" s="5">
        <v>7709.14</v>
      </c>
      <c r="E206" s="5" t="s">
        <v>27</v>
      </c>
    </row>
    <row r="207" spans="1:5" x14ac:dyDescent="0.2">
      <c r="A207" s="5">
        <v>12</v>
      </c>
      <c r="B207" s="5" t="s">
        <v>28</v>
      </c>
      <c r="C207" s="5">
        <v>6</v>
      </c>
      <c r="D207" s="5">
        <v>7581.07</v>
      </c>
      <c r="E207" s="5" t="s">
        <v>27</v>
      </c>
    </row>
    <row r="208" spans="1:5" x14ac:dyDescent="0.2">
      <c r="A208" s="5">
        <v>22</v>
      </c>
      <c r="B208" s="5" t="s">
        <v>25</v>
      </c>
      <c r="C208" s="5">
        <v>6</v>
      </c>
      <c r="D208" s="5">
        <v>7449.36</v>
      </c>
      <c r="E208" s="5" t="s">
        <v>26</v>
      </c>
    </row>
    <row r="209" spans="1:5" x14ac:dyDescent="0.2">
      <c r="A209" s="5">
        <v>30</v>
      </c>
      <c r="B209" s="5" t="s">
        <v>28</v>
      </c>
      <c r="C209" s="5">
        <v>4</v>
      </c>
      <c r="D209" s="5">
        <v>7365.25</v>
      </c>
      <c r="E209" s="5" t="s">
        <v>27</v>
      </c>
    </row>
    <row r="210" spans="1:5" x14ac:dyDescent="0.2">
      <c r="A210" s="5">
        <v>40</v>
      </c>
      <c r="B210" s="5" t="s">
        <v>39</v>
      </c>
      <c r="C210" s="5">
        <v>3</v>
      </c>
      <c r="D210" s="5">
        <v>5761.09</v>
      </c>
      <c r="E210" s="5" t="s">
        <v>26</v>
      </c>
    </row>
    <row r="211" spans="1:5" x14ac:dyDescent="0.2">
      <c r="A211" s="5">
        <v>13</v>
      </c>
      <c r="B211" s="5" t="s">
        <v>30</v>
      </c>
      <c r="C211" s="5">
        <v>6</v>
      </c>
      <c r="D211" s="5">
        <v>5743.36</v>
      </c>
      <c r="E211" s="5" t="s">
        <v>27</v>
      </c>
    </row>
    <row r="212" spans="1:5" x14ac:dyDescent="0.2">
      <c r="A212" s="5">
        <v>20</v>
      </c>
      <c r="B212" s="5" t="s">
        <v>30</v>
      </c>
      <c r="C212" s="5">
        <v>6</v>
      </c>
      <c r="D212" s="5">
        <v>5116.13</v>
      </c>
      <c r="E212" s="5" t="s">
        <v>26</v>
      </c>
    </row>
    <row r="213" spans="1:5" x14ac:dyDescent="0.2">
      <c r="A213" s="5">
        <v>25</v>
      </c>
      <c r="B213" s="5" t="s">
        <v>25</v>
      </c>
      <c r="C213" s="5">
        <v>5</v>
      </c>
      <c r="D213" s="5">
        <v>4905.96</v>
      </c>
      <c r="E213" s="5" t="s">
        <v>26</v>
      </c>
    </row>
    <row r="214" spans="1:5" x14ac:dyDescent="0.2">
      <c r="A214" s="5">
        <v>37</v>
      </c>
      <c r="B214" s="5" t="s">
        <v>44</v>
      </c>
      <c r="C214" s="5">
        <v>3</v>
      </c>
      <c r="D214" s="5">
        <v>4836.26</v>
      </c>
      <c r="E214" s="5" t="s">
        <v>26</v>
      </c>
    </row>
    <row r="215" spans="1:5" x14ac:dyDescent="0.2">
      <c r="A215" s="5">
        <v>35</v>
      </c>
      <c r="B215" s="5" t="s">
        <v>45</v>
      </c>
      <c r="C215" s="5">
        <v>3</v>
      </c>
      <c r="D215" s="5">
        <v>4446.3500000000004</v>
      </c>
      <c r="E215" s="5" t="s">
        <v>26</v>
      </c>
    </row>
    <row r="216" spans="1:5" x14ac:dyDescent="0.2">
      <c r="A216" s="5">
        <v>28</v>
      </c>
      <c r="B216" s="5" t="s">
        <v>28</v>
      </c>
      <c r="C216" s="5">
        <v>5</v>
      </c>
      <c r="D216" s="5">
        <v>4152.25</v>
      </c>
      <c r="E216" s="5" t="s">
        <v>26</v>
      </c>
    </row>
    <row r="217" spans="1:5" x14ac:dyDescent="0.2">
      <c r="A217" s="5">
        <v>9</v>
      </c>
      <c r="B217" s="5" t="s">
        <v>25</v>
      </c>
      <c r="C217" s="5">
        <v>6</v>
      </c>
      <c r="D217" s="5">
        <v>4103.2700000000004</v>
      </c>
      <c r="E217" s="5" t="s">
        <v>27</v>
      </c>
    </row>
    <row r="218" spans="1:5" x14ac:dyDescent="0.2">
      <c r="A218" s="5">
        <v>34</v>
      </c>
      <c r="B218" s="5" t="s">
        <v>25</v>
      </c>
      <c r="C218" s="5">
        <v>3</v>
      </c>
      <c r="D218" s="5">
        <v>3987.87</v>
      </c>
      <c r="E218" s="5" t="s">
        <v>26</v>
      </c>
    </row>
    <row r="219" spans="1:5" x14ac:dyDescent="0.2">
      <c r="A219" s="5">
        <v>1</v>
      </c>
      <c r="B219" s="5" t="s">
        <v>25</v>
      </c>
      <c r="C219" s="5">
        <v>5</v>
      </c>
      <c r="D219" s="5">
        <v>3689.56</v>
      </c>
      <c r="E219" s="5" t="s">
        <v>26</v>
      </c>
    </row>
    <row r="220" spans="1:5" x14ac:dyDescent="0.2">
      <c r="A220" s="5">
        <v>10</v>
      </c>
      <c r="B220" s="5" t="s">
        <v>29</v>
      </c>
      <c r="C220" s="5">
        <v>6</v>
      </c>
      <c r="D220" s="5">
        <v>3562.95</v>
      </c>
      <c r="E220" s="5" t="s">
        <v>26</v>
      </c>
    </row>
    <row r="221" spans="1:5" x14ac:dyDescent="0.2">
      <c r="A221" s="5">
        <v>36</v>
      </c>
      <c r="B221" s="5" t="s">
        <v>46</v>
      </c>
      <c r="C221" s="5">
        <v>3</v>
      </c>
      <c r="D221" s="5">
        <v>3406.26</v>
      </c>
      <c r="E221" s="5" t="s">
        <v>26</v>
      </c>
    </row>
    <row r="222" spans="1:5" x14ac:dyDescent="0.2">
      <c r="A222" s="5">
        <v>27</v>
      </c>
      <c r="B222" s="5" t="s">
        <v>28</v>
      </c>
      <c r="C222" s="5">
        <v>5</v>
      </c>
      <c r="D222" s="5">
        <v>3352.87</v>
      </c>
      <c r="E222" s="5" t="s">
        <v>26</v>
      </c>
    </row>
    <row r="223" spans="1:5" x14ac:dyDescent="0.2">
      <c r="A223" s="5">
        <v>11</v>
      </c>
      <c r="B223" s="5" t="s">
        <v>34</v>
      </c>
      <c r="C223" s="5">
        <v>4</v>
      </c>
      <c r="D223" s="5">
        <v>2962.88</v>
      </c>
      <c r="E223" s="5" t="s">
        <v>26</v>
      </c>
    </row>
    <row r="224" spans="1:5" x14ac:dyDescent="0.2">
      <c r="A224" s="5">
        <v>2</v>
      </c>
      <c r="B224" s="5" t="s">
        <v>25</v>
      </c>
      <c r="C224" s="5">
        <v>5</v>
      </c>
      <c r="D224" s="5">
        <v>2908.5</v>
      </c>
      <c r="E224" s="5" t="s">
        <v>27</v>
      </c>
    </row>
    <row r="225" spans="1:6" x14ac:dyDescent="0.2">
      <c r="A225" s="5">
        <v>17</v>
      </c>
      <c r="B225" s="5" t="s">
        <v>31</v>
      </c>
      <c r="C225" s="5">
        <v>6</v>
      </c>
      <c r="D225" s="5">
        <v>2514.96</v>
      </c>
      <c r="E225" s="5" t="s">
        <v>27</v>
      </c>
    </row>
    <row r="226" spans="1:6" x14ac:dyDescent="0.2">
      <c r="A226" s="5">
        <v>26</v>
      </c>
      <c r="B226" s="5" t="s">
        <v>35</v>
      </c>
      <c r="C226" s="5">
        <v>5</v>
      </c>
      <c r="D226" s="5">
        <v>2335.29</v>
      </c>
      <c r="E226" s="5" t="s">
        <v>26</v>
      </c>
    </row>
    <row r="227" spans="1:6" x14ac:dyDescent="0.2">
      <c r="A227" s="5">
        <v>29</v>
      </c>
      <c r="B227" s="5" t="s">
        <v>28</v>
      </c>
      <c r="C227" s="5">
        <v>5</v>
      </c>
      <c r="D227" s="5">
        <v>1960.87</v>
      </c>
      <c r="E227" s="5" t="s">
        <v>26</v>
      </c>
    </row>
    <row r="228" spans="1:6" x14ac:dyDescent="0.2">
      <c r="A228" s="5">
        <v>38</v>
      </c>
      <c r="B228" s="5" t="s">
        <v>47</v>
      </c>
      <c r="C228" s="5">
        <v>3</v>
      </c>
      <c r="D228" s="5">
        <v>1221.8499999999999</v>
      </c>
      <c r="E228" s="5" t="s">
        <v>26</v>
      </c>
    </row>
    <row r="229" spans="1:6" x14ac:dyDescent="0.2">
      <c r="A229" s="5">
        <v>33</v>
      </c>
      <c r="B229" s="5" t="s">
        <v>25</v>
      </c>
      <c r="C229" s="5">
        <v>3</v>
      </c>
      <c r="D229" s="5">
        <v>1107.08</v>
      </c>
      <c r="E229" s="5" t="s">
        <v>26</v>
      </c>
    </row>
    <row r="230" spans="1:6" x14ac:dyDescent="0.2">
      <c r="A230" s="5">
        <v>48</v>
      </c>
      <c r="B230" s="5" t="s">
        <v>37</v>
      </c>
      <c r="C230" s="5">
        <v>0</v>
      </c>
      <c r="D230" s="5">
        <v>0</v>
      </c>
      <c r="E230" s="5" t="s">
        <v>26</v>
      </c>
    </row>
    <row r="231" spans="1:6" x14ac:dyDescent="0.2">
      <c r="A231" s="5">
        <v>49</v>
      </c>
      <c r="B231" s="5" t="s">
        <v>37</v>
      </c>
      <c r="C231" s="5">
        <v>0</v>
      </c>
      <c r="D231" s="5">
        <v>0</v>
      </c>
      <c r="E231" s="5" t="s">
        <v>26</v>
      </c>
    </row>
    <row r="232" spans="1:6" x14ac:dyDescent="0.2">
      <c r="A232" s="5">
        <v>41</v>
      </c>
      <c r="B232" s="5" t="s">
        <v>30</v>
      </c>
      <c r="C232" s="5">
        <v>0</v>
      </c>
      <c r="D232" s="5">
        <v>0</v>
      </c>
      <c r="E232" s="5" t="s">
        <v>26</v>
      </c>
    </row>
    <row r="233" spans="1:6" x14ac:dyDescent="0.2">
      <c r="A233" s="5">
        <v>42</v>
      </c>
      <c r="B233" s="5" t="s">
        <v>28</v>
      </c>
      <c r="C233" s="5">
        <v>0</v>
      </c>
      <c r="D233" s="5">
        <v>0</v>
      </c>
      <c r="E233" s="5" t="s">
        <v>26</v>
      </c>
    </row>
    <row r="234" spans="1:6" x14ac:dyDescent="0.2">
      <c r="A234" s="5">
        <v>43</v>
      </c>
      <c r="B234" s="5" t="s">
        <v>25</v>
      </c>
      <c r="C234" s="5">
        <v>0</v>
      </c>
      <c r="D234" s="5">
        <v>0</v>
      </c>
      <c r="E234" s="5" t="s">
        <v>26</v>
      </c>
    </row>
    <row r="235" spans="1:6" x14ac:dyDescent="0.2">
      <c r="A235" s="5">
        <v>44</v>
      </c>
      <c r="B235" s="5" t="s">
        <v>25</v>
      </c>
      <c r="C235" s="5">
        <v>0</v>
      </c>
      <c r="D235" s="5">
        <v>0</v>
      </c>
      <c r="E235" s="5" t="s">
        <v>26</v>
      </c>
    </row>
    <row r="236" spans="1:6" x14ac:dyDescent="0.2">
      <c r="A236" s="5">
        <v>45</v>
      </c>
      <c r="B236" s="5" t="s">
        <v>25</v>
      </c>
      <c r="C236" s="5">
        <v>0</v>
      </c>
      <c r="D236" s="5">
        <v>0</v>
      </c>
      <c r="E236" s="5" t="s">
        <v>26</v>
      </c>
    </row>
    <row r="237" spans="1:6" x14ac:dyDescent="0.2">
      <c r="A237" s="5">
        <v>46</v>
      </c>
      <c r="B237" s="5" t="s">
        <v>28</v>
      </c>
      <c r="C237" s="5">
        <v>0</v>
      </c>
      <c r="D237" s="5">
        <v>0</v>
      </c>
      <c r="E237" s="5" t="s">
        <v>26</v>
      </c>
    </row>
    <row r="238" spans="1:6" x14ac:dyDescent="0.2">
      <c r="A238" s="5">
        <v>47</v>
      </c>
      <c r="B238" s="5" t="s">
        <v>30</v>
      </c>
      <c r="C238" s="5">
        <v>0</v>
      </c>
      <c r="D238" s="5">
        <v>0</v>
      </c>
      <c r="E238" s="5" t="s">
        <v>26</v>
      </c>
    </row>
    <row r="240" spans="1:6" ht="18" x14ac:dyDescent="0.25">
      <c r="A240" s="56" t="s">
        <v>116</v>
      </c>
      <c r="B240" s="56"/>
      <c r="C240" s="56"/>
      <c r="D240" s="56"/>
      <c r="E240" s="56"/>
      <c r="F240" s="56"/>
    </row>
    <row r="241" spans="1:6" x14ac:dyDescent="0.2">
      <c r="A241" s="5" t="s">
        <v>48</v>
      </c>
      <c r="B241" s="5" t="s">
        <v>49</v>
      </c>
      <c r="C241" s="5" t="s">
        <v>50</v>
      </c>
      <c r="D241" s="5" t="s">
        <v>51</v>
      </c>
      <c r="E241" s="5" t="s">
        <v>42</v>
      </c>
      <c r="F241" s="5" t="s">
        <v>24</v>
      </c>
    </row>
    <row r="242" spans="1:6" x14ac:dyDescent="0.2">
      <c r="A242" s="5">
        <v>15</v>
      </c>
      <c r="B242" s="5" t="s">
        <v>52</v>
      </c>
      <c r="C242" s="5" t="s">
        <v>53</v>
      </c>
      <c r="D242" s="5">
        <v>21</v>
      </c>
      <c r="E242" s="5">
        <v>80634.149999999994</v>
      </c>
      <c r="F242" s="5" t="s">
        <v>27</v>
      </c>
    </row>
    <row r="243" spans="1:6" x14ac:dyDescent="0.2">
      <c r="A243" s="5">
        <v>4</v>
      </c>
      <c r="B243" s="5" t="s">
        <v>54</v>
      </c>
      <c r="C243" s="5" t="s">
        <v>55</v>
      </c>
      <c r="D243" s="5">
        <v>17</v>
      </c>
      <c r="E243" s="5">
        <v>41733.300000000003</v>
      </c>
      <c r="F243" s="5" t="s">
        <v>27</v>
      </c>
    </row>
    <row r="244" spans="1:6" x14ac:dyDescent="0.2">
      <c r="A244" s="5">
        <v>1</v>
      </c>
      <c r="B244" s="5" t="s">
        <v>56</v>
      </c>
      <c r="C244" s="5" t="s">
        <v>55</v>
      </c>
      <c r="D244" s="5">
        <v>46</v>
      </c>
      <c r="E244" s="5">
        <v>40859.550000000003</v>
      </c>
      <c r="F244" s="5" t="s">
        <v>27</v>
      </c>
    </row>
    <row r="245" spans="1:6" x14ac:dyDescent="0.2">
      <c r="A245" s="5">
        <v>16</v>
      </c>
      <c r="B245" s="5" t="s">
        <v>57</v>
      </c>
      <c r="C245" s="5" t="s">
        <v>53</v>
      </c>
      <c r="D245" s="5">
        <v>9</v>
      </c>
      <c r="E245" s="5">
        <v>35052.980000000003</v>
      </c>
      <c r="F245" s="5" t="s">
        <v>26</v>
      </c>
    </row>
    <row r="246" spans="1:6" x14ac:dyDescent="0.2">
      <c r="A246" s="5">
        <v>5</v>
      </c>
      <c r="B246" s="5" t="s">
        <v>58</v>
      </c>
      <c r="C246" s="5" t="s">
        <v>55</v>
      </c>
      <c r="D246" s="5">
        <v>42</v>
      </c>
      <c r="E246" s="5">
        <v>29675.360000000001</v>
      </c>
      <c r="F246" s="5" t="s">
        <v>27</v>
      </c>
    </row>
    <row r="247" spans="1:6" x14ac:dyDescent="0.2">
      <c r="A247" s="5">
        <v>14</v>
      </c>
      <c r="B247" s="5" t="s">
        <v>59</v>
      </c>
      <c r="C247" s="5" t="s">
        <v>53</v>
      </c>
      <c r="D247" s="5">
        <v>34</v>
      </c>
      <c r="E247" s="5">
        <v>12827.95</v>
      </c>
      <c r="F247" s="5" t="s">
        <v>27</v>
      </c>
    </row>
    <row r="248" spans="1:6" x14ac:dyDescent="0.2">
      <c r="A248" s="5">
        <v>2</v>
      </c>
      <c r="B248" s="5" t="s">
        <v>60</v>
      </c>
      <c r="C248" s="5" t="s">
        <v>55</v>
      </c>
      <c r="D248" s="5">
        <v>35</v>
      </c>
      <c r="E248" s="5">
        <v>6962.55</v>
      </c>
      <c r="F248" s="5" t="s">
        <v>27</v>
      </c>
    </row>
    <row r="249" spans="1:6" x14ac:dyDescent="0.2">
      <c r="A249" s="5">
        <v>20</v>
      </c>
      <c r="B249" s="5" t="s">
        <v>61</v>
      </c>
      <c r="C249" s="5" t="s">
        <v>53</v>
      </c>
      <c r="D249" s="5">
        <v>12</v>
      </c>
      <c r="E249" s="5">
        <v>6338</v>
      </c>
      <c r="F249" s="5" t="s">
        <v>26</v>
      </c>
    </row>
    <row r="250" spans="1:6" x14ac:dyDescent="0.2">
      <c r="A250" s="5">
        <v>6</v>
      </c>
      <c r="B250" s="5" t="s">
        <v>62</v>
      </c>
      <c r="C250" s="5" t="s">
        <v>55</v>
      </c>
      <c r="D250" s="5">
        <v>20</v>
      </c>
      <c r="E250" s="5">
        <v>5282.87</v>
      </c>
      <c r="F250" s="5" t="s">
        <v>27</v>
      </c>
    </row>
    <row r="251" spans="1:6" x14ac:dyDescent="0.2">
      <c r="A251" s="5">
        <v>11</v>
      </c>
      <c r="B251" s="5" t="s">
        <v>63</v>
      </c>
      <c r="C251" s="5" t="s">
        <v>64</v>
      </c>
      <c r="D251" s="5">
        <v>47</v>
      </c>
      <c r="E251" s="5">
        <v>4459.75</v>
      </c>
      <c r="F251" s="5" t="s">
        <v>27</v>
      </c>
    </row>
    <row r="252" spans="1:6" x14ac:dyDescent="0.2">
      <c r="A252" s="5">
        <v>7</v>
      </c>
      <c r="B252" s="5" t="s">
        <v>65</v>
      </c>
      <c r="C252" s="5" t="s">
        <v>55</v>
      </c>
      <c r="D252" s="5">
        <v>21</v>
      </c>
      <c r="E252" s="5">
        <v>3875.83</v>
      </c>
      <c r="F252" s="5" t="s">
        <v>26</v>
      </c>
    </row>
    <row r="253" spans="1:6" x14ac:dyDescent="0.2">
      <c r="A253" s="5">
        <v>10</v>
      </c>
      <c r="B253" s="5" t="s">
        <v>66</v>
      </c>
      <c r="C253" s="5" t="s">
        <v>64</v>
      </c>
      <c r="D253" s="5">
        <v>13</v>
      </c>
      <c r="E253" s="5">
        <v>3092.4</v>
      </c>
      <c r="F253" s="5" t="s">
        <v>26</v>
      </c>
    </row>
    <row r="254" spans="1:6" x14ac:dyDescent="0.2">
      <c r="A254" s="5">
        <v>34</v>
      </c>
      <c r="B254" s="5" t="s">
        <v>67</v>
      </c>
      <c r="C254" s="5" t="s">
        <v>68</v>
      </c>
      <c r="D254" s="5">
        <v>11</v>
      </c>
      <c r="E254" s="5">
        <v>2689</v>
      </c>
      <c r="F254" s="5" t="s">
        <v>26</v>
      </c>
    </row>
    <row r="255" spans="1:6" x14ac:dyDescent="0.2">
      <c r="A255" s="5">
        <v>3</v>
      </c>
      <c r="B255" s="5" t="s">
        <v>69</v>
      </c>
      <c r="C255" s="5" t="s">
        <v>55</v>
      </c>
      <c r="D255" s="5">
        <v>30</v>
      </c>
      <c r="E255" s="5">
        <v>2639.46</v>
      </c>
      <c r="F255" s="5" t="s">
        <v>27</v>
      </c>
    </row>
    <row r="256" spans="1:6" x14ac:dyDescent="0.2">
      <c r="A256" s="5">
        <v>9</v>
      </c>
      <c r="B256" s="5" t="s">
        <v>70</v>
      </c>
      <c r="C256" s="5" t="s">
        <v>64</v>
      </c>
      <c r="D256" s="5">
        <v>26</v>
      </c>
      <c r="E256" s="5">
        <v>2538.15</v>
      </c>
      <c r="F256" s="5" t="s">
        <v>27</v>
      </c>
    </row>
    <row r="257" spans="1:6" x14ac:dyDescent="0.2">
      <c r="A257" s="5">
        <v>19</v>
      </c>
      <c r="B257" s="5" t="s">
        <v>71</v>
      </c>
      <c r="C257" s="5" t="s">
        <v>53</v>
      </c>
      <c r="D257" s="5">
        <v>12</v>
      </c>
      <c r="E257" s="5">
        <v>2388</v>
      </c>
      <c r="F257" s="5" t="s">
        <v>26</v>
      </c>
    </row>
    <row r="258" spans="1:6" x14ac:dyDescent="0.2">
      <c r="A258" s="5">
        <v>13</v>
      </c>
      <c r="B258" s="5" t="s">
        <v>72</v>
      </c>
      <c r="C258" s="5" t="s">
        <v>64</v>
      </c>
      <c r="D258" s="5">
        <v>11</v>
      </c>
      <c r="E258" s="5">
        <v>2209.9499999999998</v>
      </c>
      <c r="F258" s="5" t="s">
        <v>27</v>
      </c>
    </row>
    <row r="259" spans="1:6" x14ac:dyDescent="0.2">
      <c r="A259" s="5">
        <v>21</v>
      </c>
      <c r="B259" s="5" t="s">
        <v>73</v>
      </c>
      <c r="C259" s="5" t="s">
        <v>74</v>
      </c>
      <c r="D259" s="5">
        <v>16</v>
      </c>
      <c r="E259" s="5">
        <v>1903.26</v>
      </c>
      <c r="F259" s="5" t="s">
        <v>27</v>
      </c>
    </row>
    <row r="260" spans="1:6" x14ac:dyDescent="0.2">
      <c r="A260" s="5">
        <v>22</v>
      </c>
      <c r="B260" s="5" t="s">
        <v>75</v>
      </c>
      <c r="C260" s="5" t="s">
        <v>74</v>
      </c>
      <c r="D260" s="5">
        <v>32</v>
      </c>
      <c r="E260" s="5">
        <v>1764.8</v>
      </c>
      <c r="F260" s="5" t="s">
        <v>26</v>
      </c>
    </row>
    <row r="261" spans="1:6" x14ac:dyDescent="0.2">
      <c r="A261" s="5">
        <v>8</v>
      </c>
      <c r="B261" s="5" t="s">
        <v>76</v>
      </c>
      <c r="C261" s="5" t="s">
        <v>64</v>
      </c>
      <c r="D261" s="5">
        <v>22</v>
      </c>
      <c r="E261" s="5">
        <v>1749.81</v>
      </c>
      <c r="F261" s="5" t="s">
        <v>27</v>
      </c>
    </row>
    <row r="262" spans="1:6" x14ac:dyDescent="0.2">
      <c r="A262" s="5">
        <v>43</v>
      </c>
      <c r="B262" s="5" t="s">
        <v>77</v>
      </c>
      <c r="C262" s="5" t="s">
        <v>78</v>
      </c>
      <c r="D262" s="5">
        <v>2</v>
      </c>
      <c r="E262" s="5">
        <v>1398</v>
      </c>
      <c r="F262" s="5" t="s">
        <v>26</v>
      </c>
    </row>
    <row r="263" spans="1:6" x14ac:dyDescent="0.2">
      <c r="A263" s="5">
        <v>39</v>
      </c>
      <c r="B263" s="5" t="s">
        <v>79</v>
      </c>
      <c r="C263" s="5" t="s">
        <v>80</v>
      </c>
      <c r="D263" s="5">
        <v>4</v>
      </c>
      <c r="E263" s="5">
        <v>1396</v>
      </c>
      <c r="F263" s="5" t="s">
        <v>26</v>
      </c>
    </row>
    <row r="264" spans="1:6" x14ac:dyDescent="0.2">
      <c r="A264" s="5">
        <v>27</v>
      </c>
      <c r="B264" s="5" t="s">
        <v>81</v>
      </c>
      <c r="C264" s="5" t="s">
        <v>82</v>
      </c>
      <c r="D264" s="5">
        <v>39</v>
      </c>
      <c r="E264" s="5">
        <v>1288.6300000000001</v>
      </c>
      <c r="F264" s="5" t="s">
        <v>26</v>
      </c>
    </row>
    <row r="265" spans="1:6" x14ac:dyDescent="0.2">
      <c r="A265" s="5">
        <v>30</v>
      </c>
      <c r="B265" s="5" t="s">
        <v>83</v>
      </c>
      <c r="C265" s="5" t="s">
        <v>82</v>
      </c>
      <c r="D265" s="5">
        <v>17</v>
      </c>
      <c r="E265" s="5">
        <v>1209.3</v>
      </c>
      <c r="F265" s="5" t="s">
        <v>26</v>
      </c>
    </row>
    <row r="266" spans="1:6" x14ac:dyDescent="0.2">
      <c r="A266" s="5">
        <v>17</v>
      </c>
      <c r="B266" s="5" t="s">
        <v>84</v>
      </c>
      <c r="C266" s="5" t="s">
        <v>53</v>
      </c>
      <c r="D266" s="5">
        <v>3</v>
      </c>
      <c r="E266" s="5">
        <v>1197</v>
      </c>
      <c r="F266" s="5" t="s">
        <v>26</v>
      </c>
    </row>
    <row r="267" spans="1:6" x14ac:dyDescent="0.2">
      <c r="A267" s="5">
        <v>25</v>
      </c>
      <c r="B267" s="5" t="s">
        <v>85</v>
      </c>
      <c r="C267" s="5" t="s">
        <v>74</v>
      </c>
      <c r="D267" s="5">
        <v>17</v>
      </c>
      <c r="E267" s="5">
        <v>1110.2</v>
      </c>
      <c r="F267" s="5" t="s">
        <v>26</v>
      </c>
    </row>
    <row r="268" spans="1:6" x14ac:dyDescent="0.2">
      <c r="A268" s="5">
        <v>31</v>
      </c>
      <c r="B268" s="5" t="s">
        <v>86</v>
      </c>
      <c r="C268" s="5" t="s">
        <v>82</v>
      </c>
      <c r="D268" s="5">
        <v>18</v>
      </c>
      <c r="E268" s="5">
        <v>1049.92</v>
      </c>
      <c r="F268" s="5" t="s">
        <v>26</v>
      </c>
    </row>
    <row r="269" spans="1:6" x14ac:dyDescent="0.2">
      <c r="A269" s="5">
        <v>12</v>
      </c>
      <c r="B269" s="5" t="s">
        <v>87</v>
      </c>
      <c r="C269" s="5" t="s">
        <v>64</v>
      </c>
      <c r="D269" s="5">
        <v>10</v>
      </c>
      <c r="E269" s="5">
        <v>693</v>
      </c>
      <c r="F269" s="5" t="s">
        <v>26</v>
      </c>
    </row>
    <row r="270" spans="1:6" x14ac:dyDescent="0.2">
      <c r="A270" s="5">
        <v>18</v>
      </c>
      <c r="B270" s="5" t="s">
        <v>88</v>
      </c>
      <c r="C270" s="5" t="s">
        <v>53</v>
      </c>
      <c r="D270" s="5">
        <v>2</v>
      </c>
      <c r="E270" s="5">
        <v>648</v>
      </c>
      <c r="F270" s="5" t="s">
        <v>26</v>
      </c>
    </row>
    <row r="271" spans="1:6" x14ac:dyDescent="0.2">
      <c r="A271" s="5">
        <v>29</v>
      </c>
      <c r="B271" s="5" t="s">
        <v>89</v>
      </c>
      <c r="C271" s="5" t="s">
        <v>82</v>
      </c>
      <c r="D271" s="5">
        <v>5</v>
      </c>
      <c r="E271" s="5">
        <v>645</v>
      </c>
      <c r="F271" s="5" t="s">
        <v>26</v>
      </c>
    </row>
    <row r="272" spans="1:6" x14ac:dyDescent="0.2">
      <c r="A272" s="5">
        <v>36</v>
      </c>
      <c r="B272" s="5" t="s">
        <v>90</v>
      </c>
      <c r="C272" s="5" t="s">
        <v>68</v>
      </c>
      <c r="D272" s="5">
        <v>7</v>
      </c>
      <c r="E272" s="5">
        <v>623</v>
      </c>
      <c r="F272" s="5" t="s">
        <v>26</v>
      </c>
    </row>
    <row r="273" spans="1:6" x14ac:dyDescent="0.2">
      <c r="A273" s="5">
        <v>41</v>
      </c>
      <c r="B273" s="5" t="s">
        <v>91</v>
      </c>
      <c r="C273" s="5" t="s">
        <v>80</v>
      </c>
      <c r="D273" s="5">
        <v>6</v>
      </c>
      <c r="E273" s="5">
        <v>534</v>
      </c>
      <c r="F273" s="5" t="s">
        <v>26</v>
      </c>
    </row>
    <row r="274" spans="1:6" x14ac:dyDescent="0.2">
      <c r="A274" s="5">
        <v>33</v>
      </c>
      <c r="B274" s="5" t="s">
        <v>92</v>
      </c>
      <c r="C274" s="5" t="s">
        <v>68</v>
      </c>
      <c r="D274" s="5">
        <v>22</v>
      </c>
      <c r="E274" s="5">
        <v>514.83000000000004</v>
      </c>
      <c r="F274" s="5" t="s">
        <v>26</v>
      </c>
    </row>
    <row r="275" spans="1:6" x14ac:dyDescent="0.2">
      <c r="A275" s="5">
        <v>42</v>
      </c>
      <c r="B275" s="5" t="s">
        <v>93</v>
      </c>
      <c r="C275" s="5" t="s">
        <v>80</v>
      </c>
      <c r="D275" s="5">
        <v>4</v>
      </c>
      <c r="E275" s="5">
        <v>476</v>
      </c>
      <c r="F275" s="5" t="s">
        <v>26</v>
      </c>
    </row>
    <row r="276" spans="1:6" x14ac:dyDescent="0.2">
      <c r="A276" s="5">
        <v>38</v>
      </c>
      <c r="B276" s="5" t="s">
        <v>94</v>
      </c>
      <c r="C276" s="5" t="s">
        <v>80</v>
      </c>
      <c r="D276" s="5">
        <v>6</v>
      </c>
      <c r="E276" s="5">
        <v>474</v>
      </c>
      <c r="F276" s="5" t="s">
        <v>26</v>
      </c>
    </row>
    <row r="277" spans="1:6" x14ac:dyDescent="0.2">
      <c r="A277" s="5">
        <v>28</v>
      </c>
      <c r="B277" s="5" t="s">
        <v>95</v>
      </c>
      <c r="C277" s="5" t="s">
        <v>82</v>
      </c>
      <c r="D277" s="5">
        <v>10</v>
      </c>
      <c r="E277" s="5">
        <v>394.63</v>
      </c>
      <c r="F277" s="5" t="s">
        <v>26</v>
      </c>
    </row>
    <row r="278" spans="1:6" x14ac:dyDescent="0.2">
      <c r="A278" s="5">
        <v>35</v>
      </c>
      <c r="B278" s="5" t="s">
        <v>96</v>
      </c>
      <c r="C278" s="5" t="s">
        <v>68</v>
      </c>
      <c r="D278" s="5">
        <v>6</v>
      </c>
      <c r="E278" s="5">
        <v>359.4</v>
      </c>
      <c r="F278" s="5" t="s">
        <v>26</v>
      </c>
    </row>
    <row r="279" spans="1:6" x14ac:dyDescent="0.2">
      <c r="A279" s="5">
        <v>23</v>
      </c>
      <c r="B279" s="5" t="s">
        <v>97</v>
      </c>
      <c r="C279" s="5" t="s">
        <v>74</v>
      </c>
      <c r="D279" s="5">
        <v>6</v>
      </c>
      <c r="E279" s="5">
        <v>299.39999999999998</v>
      </c>
      <c r="F279" s="5" t="s">
        <v>26</v>
      </c>
    </row>
    <row r="280" spans="1:6" x14ac:dyDescent="0.2">
      <c r="A280" s="5">
        <v>37</v>
      </c>
      <c r="B280" s="5" t="s">
        <v>98</v>
      </c>
      <c r="C280" s="5" t="s">
        <v>68</v>
      </c>
      <c r="D280" s="5">
        <v>5</v>
      </c>
      <c r="E280" s="5">
        <v>249.5</v>
      </c>
      <c r="F280" s="5" t="s">
        <v>26</v>
      </c>
    </row>
    <row r="281" spans="1:6" x14ac:dyDescent="0.2">
      <c r="A281" s="5">
        <v>24</v>
      </c>
      <c r="B281" s="5" t="s">
        <v>99</v>
      </c>
      <c r="C281" s="5" t="s">
        <v>74</v>
      </c>
      <c r="D281" s="5">
        <v>4</v>
      </c>
      <c r="E281" s="5">
        <v>239.6</v>
      </c>
      <c r="F281" s="5" t="s">
        <v>26</v>
      </c>
    </row>
    <row r="282" spans="1:6" x14ac:dyDescent="0.2">
      <c r="A282" s="5">
        <v>40</v>
      </c>
      <c r="B282" s="5" t="s">
        <v>100</v>
      </c>
      <c r="C282" s="5" t="s">
        <v>80</v>
      </c>
      <c r="D282" s="5">
        <v>8</v>
      </c>
      <c r="E282" s="5">
        <v>239.2</v>
      </c>
      <c r="F282" s="5" t="s">
        <v>26</v>
      </c>
    </row>
    <row r="283" spans="1:6" x14ac:dyDescent="0.2">
      <c r="A283" s="5">
        <v>26</v>
      </c>
      <c r="B283" s="5" t="s">
        <v>101</v>
      </c>
      <c r="C283" s="5" t="s">
        <v>74</v>
      </c>
      <c r="D283" s="5">
        <v>4</v>
      </c>
      <c r="E283" s="5">
        <v>139.96</v>
      </c>
      <c r="F283" s="5" t="s">
        <v>26</v>
      </c>
    </row>
    <row r="284" spans="1:6" x14ac:dyDescent="0.2">
      <c r="A284" s="5">
        <v>44</v>
      </c>
      <c r="B284" s="5" t="s">
        <v>102</v>
      </c>
      <c r="C284" s="5" t="s">
        <v>78</v>
      </c>
      <c r="D284" s="5">
        <v>4</v>
      </c>
      <c r="E284" s="5">
        <v>63.96</v>
      </c>
      <c r="F284" s="5" t="s">
        <v>26</v>
      </c>
    </row>
    <row r="285" spans="1:6" x14ac:dyDescent="0.2">
      <c r="A285" s="5">
        <v>32</v>
      </c>
      <c r="B285" s="5" t="s">
        <v>103</v>
      </c>
      <c r="C285" s="5" t="s">
        <v>82</v>
      </c>
      <c r="D285" s="5">
        <v>1</v>
      </c>
      <c r="E285" s="5">
        <v>29.99</v>
      </c>
      <c r="F285" s="5" t="s">
        <v>26</v>
      </c>
    </row>
    <row r="286" spans="1:6" x14ac:dyDescent="0.2">
      <c r="A286" s="5">
        <v>45</v>
      </c>
      <c r="B286" s="5" t="s">
        <v>104</v>
      </c>
      <c r="C286" s="5" t="s">
        <v>78</v>
      </c>
      <c r="D286" s="5">
        <v>3</v>
      </c>
      <c r="E286" s="5">
        <v>29.7</v>
      </c>
      <c r="F286" s="5" t="s">
        <v>26</v>
      </c>
    </row>
    <row r="287" spans="1:6" x14ac:dyDescent="0.2">
      <c r="A287" s="5">
        <v>54</v>
      </c>
      <c r="B287" s="5" t="s">
        <v>105</v>
      </c>
      <c r="C287" s="5" t="s">
        <v>68</v>
      </c>
      <c r="D287" s="5">
        <v>0</v>
      </c>
      <c r="E287" s="5">
        <v>0</v>
      </c>
      <c r="F287" s="5" t="s">
        <v>26</v>
      </c>
    </row>
    <row r="288" spans="1:6" x14ac:dyDescent="0.2">
      <c r="A288" s="5">
        <v>49</v>
      </c>
      <c r="B288" s="5" t="s">
        <v>106</v>
      </c>
      <c r="C288" s="5" t="s">
        <v>55</v>
      </c>
      <c r="D288" s="5">
        <v>0</v>
      </c>
      <c r="E288" s="5">
        <v>0</v>
      </c>
      <c r="F288" s="5" t="s">
        <v>26</v>
      </c>
    </row>
    <row r="289" spans="1:6" x14ac:dyDescent="0.2">
      <c r="A289" s="5">
        <v>53</v>
      </c>
      <c r="B289" s="5" t="s">
        <v>107</v>
      </c>
      <c r="C289" s="5" t="s">
        <v>82</v>
      </c>
      <c r="D289" s="5">
        <v>0</v>
      </c>
      <c r="E289" s="5">
        <v>0</v>
      </c>
      <c r="F289" s="5" t="s">
        <v>26</v>
      </c>
    </row>
    <row r="290" spans="1:6" x14ac:dyDescent="0.2">
      <c r="A290" s="5">
        <v>52</v>
      </c>
      <c r="B290" s="5" t="s">
        <v>108</v>
      </c>
      <c r="C290" s="5" t="s">
        <v>74</v>
      </c>
      <c r="D290" s="5">
        <v>0</v>
      </c>
      <c r="E290" s="5">
        <v>0</v>
      </c>
      <c r="F290" s="5" t="s">
        <v>26</v>
      </c>
    </row>
    <row r="291" spans="1:6" x14ac:dyDescent="0.2">
      <c r="A291" s="5">
        <v>46</v>
      </c>
      <c r="B291" s="5" t="s">
        <v>109</v>
      </c>
      <c r="C291" s="5" t="s">
        <v>78</v>
      </c>
      <c r="D291" s="5">
        <v>0</v>
      </c>
      <c r="E291" s="5">
        <v>0</v>
      </c>
      <c r="F291" s="5" t="s">
        <v>26</v>
      </c>
    </row>
    <row r="292" spans="1:6" x14ac:dyDescent="0.2">
      <c r="A292" s="5">
        <v>51</v>
      </c>
      <c r="B292" s="5" t="s">
        <v>110</v>
      </c>
      <c r="C292" s="5" t="s">
        <v>53</v>
      </c>
      <c r="D292" s="5">
        <v>0</v>
      </c>
      <c r="E292" s="5">
        <v>0</v>
      </c>
      <c r="F292" s="5" t="s">
        <v>26</v>
      </c>
    </row>
    <row r="293" spans="1:6" x14ac:dyDescent="0.2">
      <c r="A293" s="5">
        <v>50</v>
      </c>
      <c r="B293" s="5" t="s">
        <v>111</v>
      </c>
      <c r="C293" s="5" t="s">
        <v>64</v>
      </c>
      <c r="D293" s="5">
        <v>0</v>
      </c>
      <c r="E293" s="5">
        <v>0</v>
      </c>
      <c r="F293" s="5" t="s">
        <v>26</v>
      </c>
    </row>
    <row r="294" spans="1:6" x14ac:dyDescent="0.2">
      <c r="A294" s="5">
        <v>47</v>
      </c>
      <c r="B294" s="5" t="s">
        <v>112</v>
      </c>
      <c r="C294" s="5" t="s">
        <v>78</v>
      </c>
      <c r="D294" s="5">
        <v>0</v>
      </c>
      <c r="E294" s="5">
        <v>0</v>
      </c>
      <c r="F294" s="5" t="s">
        <v>26</v>
      </c>
    </row>
    <row r="295" spans="1:6" x14ac:dyDescent="0.2">
      <c r="A295" s="5">
        <v>48</v>
      </c>
      <c r="B295" s="5" t="s">
        <v>113</v>
      </c>
      <c r="C295" s="5" t="s">
        <v>78</v>
      </c>
      <c r="D295" s="5">
        <v>0</v>
      </c>
      <c r="E295" s="5">
        <v>0</v>
      </c>
      <c r="F295" s="5" t="s">
        <v>26</v>
      </c>
    </row>
  </sheetData>
  <mergeCells count="3">
    <mergeCell ref="A1:F1"/>
    <mergeCell ref="A188:E188"/>
    <mergeCell ref="A240:F240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3268-1350-42C0-8110-D20EB32F73E5}">
  <sheetPr>
    <tabColor rgb="FF4D4D4D"/>
  </sheetPr>
  <dimension ref="A1:L295"/>
  <sheetViews>
    <sheetView showGridLines="0" tabSelected="1" topLeftCell="C123" workbookViewId="0">
      <selection activeCell="C115" sqref="A115:XFD115"/>
    </sheetView>
  </sheetViews>
  <sheetFormatPr defaultRowHeight="14.25" x14ac:dyDescent="0.2"/>
  <cols>
    <col min="1" max="1" width="15.5703125" style="9" customWidth="1"/>
    <col min="2" max="2" width="31.85546875" style="7" bestFit="1" customWidth="1"/>
    <col min="3" max="3" width="18.7109375" style="9" bestFit="1" customWidth="1"/>
    <col min="4" max="4" width="17.28515625" style="5" customWidth="1"/>
    <col min="5" max="5" width="18" style="8" customWidth="1"/>
    <col min="6" max="6" width="16.5703125" style="5" customWidth="1"/>
    <col min="7" max="7" width="21.5703125" style="7" customWidth="1"/>
    <col min="8" max="8" width="21.28515625" style="5" customWidth="1"/>
    <col min="9" max="9" width="19.42578125" style="5" customWidth="1"/>
    <col min="10" max="10" width="41.140625" style="5" bestFit="1" customWidth="1"/>
    <col min="11" max="16384" width="9.140625" style="5"/>
  </cols>
  <sheetData>
    <row r="1" spans="1:12" ht="18" x14ac:dyDescent="0.25">
      <c r="A1" s="61" t="s">
        <v>117</v>
      </c>
      <c r="B1" s="62"/>
      <c r="C1" s="62"/>
      <c r="D1" s="62"/>
      <c r="E1" s="62"/>
      <c r="F1" s="62"/>
      <c r="G1" s="62"/>
      <c r="H1" s="62"/>
      <c r="I1" s="62"/>
      <c r="J1" s="63"/>
    </row>
    <row r="2" spans="1:12" ht="15" x14ac:dyDescent="0.25">
      <c r="A2" s="24" t="s">
        <v>19</v>
      </c>
      <c r="B2" s="25" t="s">
        <v>20</v>
      </c>
      <c r="C2" s="26" t="s">
        <v>21</v>
      </c>
      <c r="D2" s="27" t="s">
        <v>22</v>
      </c>
      <c r="E2" s="28" t="s">
        <v>23</v>
      </c>
      <c r="F2" s="27" t="s">
        <v>24</v>
      </c>
      <c r="G2" s="25" t="s">
        <v>118</v>
      </c>
      <c r="H2" s="27" t="s">
        <v>119</v>
      </c>
      <c r="I2" s="27" t="s">
        <v>121</v>
      </c>
      <c r="J2" s="29" t="s">
        <v>120</v>
      </c>
    </row>
    <row r="3" spans="1:12" ht="15" x14ac:dyDescent="0.25">
      <c r="A3" s="15">
        <f>tabela_zamowienia[[#This Row],[order_id]]</f>
        <v>1</v>
      </c>
      <c r="B3" s="11">
        <f>tabela_zamowienia[[#This Row],[order_date]]</f>
        <v>45293</v>
      </c>
      <c r="C3" s="10">
        <f>tabela_zamowienia[[#This Row],[customer_id]]</f>
        <v>1</v>
      </c>
      <c r="D3" s="12" t="str">
        <f>tabela_zamowienia[[#This Row],[ship_country]]</f>
        <v>Poland</v>
      </c>
      <c r="E3" s="13">
        <f>tabela_zamowienia[[#This Row],[order_value]]</f>
        <v>1129.28</v>
      </c>
      <c r="F3" s="12" t="str">
        <f>tabela_zamowienia[[#This Row],[has_discount]]</f>
        <v>NIE</v>
      </c>
      <c r="G3" s="11" t="str">
        <f>TEXT(B3,"RRRR-MM")</f>
        <v>2024-01</v>
      </c>
      <c r="H3" s="12" t="str">
        <f>VLOOKUP(C3,tabela_klienci[[customer_id]:[country]],2,0)</f>
        <v>Poland</v>
      </c>
      <c r="I3" s="12" t="str">
        <f>IF(D3=H3,"Kraj zgodny","Wysyłka za granicę")</f>
        <v>Kraj zgodny</v>
      </c>
      <c r="J3" s="16" t="str">
        <f>IF(OR(F3="TAK",E3&lt;100),"Zamówienie z rabatem lub niskiej wartości","Zamówienie standardowe")</f>
        <v>Zamówienie standardowe</v>
      </c>
      <c r="L3"/>
    </row>
    <row r="4" spans="1:12" x14ac:dyDescent="0.2">
      <c r="A4" s="15">
        <f>tabela_zamowienia[[#This Row],[order_id]]</f>
        <v>2</v>
      </c>
      <c r="B4" s="11">
        <f>tabela_zamowienia[[#This Row],[order_date]]</f>
        <v>45294</v>
      </c>
      <c r="C4" s="10">
        <f>tabela_zamowienia[[#This Row],[customer_id]]</f>
        <v>2</v>
      </c>
      <c r="D4" s="12" t="str">
        <f>tabela_zamowienia[[#This Row],[ship_country]]</f>
        <v>Poland</v>
      </c>
      <c r="E4" s="13">
        <f>tabela_zamowienia[[#This Row],[order_value]]</f>
        <v>500.9</v>
      </c>
      <c r="F4" s="12" t="str">
        <f>tabela_zamowienia[[#This Row],[has_discount]]</f>
        <v>TAK</v>
      </c>
      <c r="G4" s="11" t="str">
        <f t="shared" ref="G4:G67" si="0">TEXT(B4,"RRRR-MM")</f>
        <v>2024-01</v>
      </c>
      <c r="H4" s="12" t="str">
        <f>VLOOKUP(C4,tabela_klienci[[customer_id]:[country]],2,0)</f>
        <v>Poland</v>
      </c>
      <c r="I4" s="12" t="str">
        <f t="shared" ref="I4:I67" si="1">IF(D4=H4,"Kraj zgodny","Wysyłka za granicę")</f>
        <v>Kraj zgodny</v>
      </c>
      <c r="J4" s="16" t="str">
        <f t="shared" ref="J4:J67" si="2">IF(OR(F4="TAK",E4&lt;100),"Zamówienie z rabatem lub niskiej wartości","Zamówienie standardowe")</f>
        <v>Zamówienie z rabatem lub niskiej wartości</v>
      </c>
    </row>
    <row r="5" spans="1:12" x14ac:dyDescent="0.2">
      <c r="A5" s="15">
        <f>tabela_zamowienia[[#This Row],[order_id]]</f>
        <v>3</v>
      </c>
      <c r="B5" s="11">
        <f>tabela_zamowienia[[#This Row],[order_date]]</f>
        <v>45296</v>
      </c>
      <c r="C5" s="10">
        <f>tabela_zamowienia[[#This Row],[customer_id]]</f>
        <v>3</v>
      </c>
      <c r="D5" s="12" t="str">
        <f>tabela_zamowienia[[#This Row],[ship_country]]</f>
        <v>USA</v>
      </c>
      <c r="E5" s="13">
        <f>tabela_zamowienia[[#This Row],[order_value]]</f>
        <v>1149.3900000000001</v>
      </c>
      <c r="F5" s="12" t="str">
        <f>tabela_zamowienia[[#This Row],[has_discount]]</f>
        <v>TAK</v>
      </c>
      <c r="G5" s="11" t="str">
        <f t="shared" si="0"/>
        <v>2024-01</v>
      </c>
      <c r="H5" s="12" t="str">
        <f>VLOOKUP(C5,tabela_klienci[[customer_id]:[country]],2,0)</f>
        <v>USA</v>
      </c>
      <c r="I5" s="12" t="str">
        <f t="shared" si="1"/>
        <v>Kraj zgodny</v>
      </c>
      <c r="J5" s="16" t="str">
        <f t="shared" si="2"/>
        <v>Zamówienie z rabatem lub niskiej wartości</v>
      </c>
    </row>
    <row r="6" spans="1:12" x14ac:dyDescent="0.2">
      <c r="A6" s="15">
        <f>tabela_zamowienia[[#This Row],[order_id]]</f>
        <v>4</v>
      </c>
      <c r="B6" s="11">
        <f>tabela_zamowienia[[#This Row],[order_date]]</f>
        <v>45297</v>
      </c>
      <c r="C6" s="10">
        <f>tabela_zamowienia[[#This Row],[customer_id]]</f>
        <v>4</v>
      </c>
      <c r="D6" s="12" t="str">
        <f>tabela_zamowienia[[#This Row],[ship_country]]</f>
        <v>USA</v>
      </c>
      <c r="E6" s="13">
        <f>tabela_zamowienia[[#This Row],[order_value]]</f>
        <v>5188.7</v>
      </c>
      <c r="F6" s="12" t="str">
        <f>tabela_zamowienia[[#This Row],[has_discount]]</f>
        <v>NIE</v>
      </c>
      <c r="G6" s="11" t="str">
        <f t="shared" si="0"/>
        <v>2024-01</v>
      </c>
      <c r="H6" s="12" t="str">
        <f>VLOOKUP(C6,tabela_klienci[[customer_id]:[country]],2,0)</f>
        <v>USA</v>
      </c>
      <c r="I6" s="12" t="str">
        <f t="shared" si="1"/>
        <v>Kraj zgodny</v>
      </c>
      <c r="J6" s="16" t="str">
        <f t="shared" si="2"/>
        <v>Zamówienie standardowe</v>
      </c>
    </row>
    <row r="7" spans="1:12" x14ac:dyDescent="0.2">
      <c r="A7" s="15">
        <f>tabela_zamowienia[[#This Row],[order_id]]</f>
        <v>5</v>
      </c>
      <c r="B7" s="11">
        <f>tabela_zamowienia[[#This Row],[order_date]]</f>
        <v>45299</v>
      </c>
      <c r="C7" s="10">
        <f>tabela_zamowienia[[#This Row],[customer_id]]</f>
        <v>5</v>
      </c>
      <c r="D7" s="12" t="str">
        <f>tabela_zamowienia[[#This Row],[ship_country]]</f>
        <v>Spain</v>
      </c>
      <c r="E7" s="13">
        <f>tabela_zamowienia[[#This Row],[order_value]]</f>
        <v>673.7</v>
      </c>
      <c r="F7" s="12" t="str">
        <f>tabela_zamowienia[[#This Row],[has_discount]]</f>
        <v>NIE</v>
      </c>
      <c r="G7" s="11" t="str">
        <f t="shared" si="0"/>
        <v>2024-01</v>
      </c>
      <c r="H7" s="12" t="str">
        <f>VLOOKUP(C7,tabela_klienci[[customer_id]:[country]],2,0)</f>
        <v>Spain</v>
      </c>
      <c r="I7" s="12" t="str">
        <f t="shared" si="1"/>
        <v>Kraj zgodny</v>
      </c>
      <c r="J7" s="16" t="str">
        <f t="shared" si="2"/>
        <v>Zamówienie standardowe</v>
      </c>
    </row>
    <row r="8" spans="1:12" x14ac:dyDescent="0.2">
      <c r="A8" s="15">
        <f>tabela_zamowienia[[#This Row],[order_id]]</f>
        <v>6</v>
      </c>
      <c r="B8" s="11">
        <f>tabela_zamowienia[[#This Row],[order_date]]</f>
        <v>45300</v>
      </c>
      <c r="C8" s="10">
        <f>tabela_zamowienia[[#This Row],[customer_id]]</f>
        <v>6</v>
      </c>
      <c r="D8" s="12" t="str">
        <f>tabela_zamowienia[[#This Row],[ship_country]]</f>
        <v>UK</v>
      </c>
      <c r="E8" s="13">
        <f>tabela_zamowienia[[#This Row],[order_value]]</f>
        <v>352.99</v>
      </c>
      <c r="F8" s="12" t="str">
        <f>tabela_zamowienia[[#This Row],[has_discount]]</f>
        <v>TAK</v>
      </c>
      <c r="G8" s="11" t="str">
        <f t="shared" si="0"/>
        <v>2024-01</v>
      </c>
      <c r="H8" s="12" t="str">
        <f>VLOOKUP(C8,tabela_klienci[[customer_id]:[country]],2,0)</f>
        <v>UK</v>
      </c>
      <c r="I8" s="12" t="str">
        <f t="shared" si="1"/>
        <v>Kraj zgodny</v>
      </c>
      <c r="J8" s="16" t="str">
        <f t="shared" si="2"/>
        <v>Zamówienie z rabatem lub niskiej wartości</v>
      </c>
    </row>
    <row r="9" spans="1:12" x14ac:dyDescent="0.2">
      <c r="A9" s="15">
        <f>tabela_zamowienia[[#This Row],[order_id]]</f>
        <v>7</v>
      </c>
      <c r="B9" s="11">
        <f>tabela_zamowienia[[#This Row],[order_date]]</f>
        <v>45301</v>
      </c>
      <c r="C9" s="10">
        <f>tabela_zamowienia[[#This Row],[customer_id]]</f>
        <v>7</v>
      </c>
      <c r="D9" s="12" t="str">
        <f>tabela_zamowienia[[#This Row],[ship_country]]</f>
        <v>Canada</v>
      </c>
      <c r="E9" s="13">
        <f>tabela_zamowienia[[#This Row],[order_value]]</f>
        <v>310.10000000000002</v>
      </c>
      <c r="F9" s="12" t="str">
        <f>tabela_zamowienia[[#This Row],[has_discount]]</f>
        <v>TAK</v>
      </c>
      <c r="G9" s="11" t="str">
        <f t="shared" si="0"/>
        <v>2024-01</v>
      </c>
      <c r="H9" s="12" t="str">
        <f>VLOOKUP(C9,tabela_klienci[[customer_id]:[country]],2,0)</f>
        <v>Canada</v>
      </c>
      <c r="I9" s="12" t="str">
        <f t="shared" si="1"/>
        <v>Kraj zgodny</v>
      </c>
      <c r="J9" s="16" t="str">
        <f t="shared" si="2"/>
        <v>Zamówienie z rabatem lub niskiej wartości</v>
      </c>
    </row>
    <row r="10" spans="1:12" x14ac:dyDescent="0.2">
      <c r="A10" s="15">
        <f>tabela_zamowienia[[#This Row],[order_id]]</f>
        <v>8</v>
      </c>
      <c r="B10" s="11">
        <f>tabela_zamowienia[[#This Row],[order_date]]</f>
        <v>45302</v>
      </c>
      <c r="C10" s="10">
        <f>tabela_zamowienia[[#This Row],[customer_id]]</f>
        <v>8</v>
      </c>
      <c r="D10" s="12" t="str">
        <f>tabela_zamowienia[[#This Row],[ship_country]]</f>
        <v>Poland</v>
      </c>
      <c r="E10" s="13">
        <f>tabela_zamowienia[[#This Row],[order_value]]</f>
        <v>79.900000000000006</v>
      </c>
      <c r="F10" s="12" t="str">
        <f>tabela_zamowienia[[#This Row],[has_discount]]</f>
        <v>NIE</v>
      </c>
      <c r="G10" s="11" t="str">
        <f t="shared" si="0"/>
        <v>2024-01</v>
      </c>
      <c r="H10" s="12" t="str">
        <f>VLOOKUP(C10,tabela_klienci[[customer_id]:[country]],2,0)</f>
        <v>Poland</v>
      </c>
      <c r="I10" s="12" t="str">
        <f t="shared" si="1"/>
        <v>Kraj zgodny</v>
      </c>
      <c r="J10" s="16" t="str">
        <f t="shared" si="2"/>
        <v>Zamówienie z rabatem lub niskiej wartości</v>
      </c>
    </row>
    <row r="11" spans="1:12" x14ac:dyDescent="0.2">
      <c r="A11" s="15">
        <f>tabela_zamowienia[[#This Row],[order_id]]</f>
        <v>9</v>
      </c>
      <c r="B11" s="11">
        <f>tabela_zamowienia[[#This Row],[order_date]]</f>
        <v>45303</v>
      </c>
      <c r="C11" s="10">
        <f>tabela_zamowienia[[#This Row],[customer_id]]</f>
        <v>9</v>
      </c>
      <c r="D11" s="12" t="str">
        <f>tabela_zamowienia[[#This Row],[ship_country]]</f>
        <v>Poland</v>
      </c>
      <c r="E11" s="13">
        <f>tabela_zamowienia[[#This Row],[order_value]]</f>
        <v>1348.13</v>
      </c>
      <c r="F11" s="12" t="str">
        <f>tabela_zamowienia[[#This Row],[has_discount]]</f>
        <v>TAK</v>
      </c>
      <c r="G11" s="11" t="str">
        <f t="shared" si="0"/>
        <v>2024-01</v>
      </c>
      <c r="H11" s="12" t="str">
        <f>VLOOKUP(C11,tabela_klienci[[customer_id]:[country]],2,0)</f>
        <v>Poland</v>
      </c>
      <c r="I11" s="12" t="str">
        <f t="shared" si="1"/>
        <v>Kraj zgodny</v>
      </c>
      <c r="J11" s="16" t="str">
        <f t="shared" si="2"/>
        <v>Zamówienie z rabatem lub niskiej wartości</v>
      </c>
    </row>
    <row r="12" spans="1:12" x14ac:dyDescent="0.2">
      <c r="A12" s="15">
        <f>tabela_zamowienia[[#This Row],[order_id]]</f>
        <v>10</v>
      </c>
      <c r="B12" s="11">
        <f>tabela_zamowienia[[#This Row],[order_date]]</f>
        <v>45304</v>
      </c>
      <c r="C12" s="10">
        <f>tabela_zamowienia[[#This Row],[customer_id]]</f>
        <v>10</v>
      </c>
      <c r="D12" s="12" t="str">
        <f>tabela_zamowienia[[#This Row],[ship_country]]</f>
        <v>Spain</v>
      </c>
      <c r="E12" s="13">
        <f>tabela_zamowienia[[#This Row],[order_value]]</f>
        <v>199.69</v>
      </c>
      <c r="F12" s="12" t="str">
        <f>tabela_zamowienia[[#This Row],[has_discount]]</f>
        <v>NIE</v>
      </c>
      <c r="G12" s="11" t="str">
        <f t="shared" si="0"/>
        <v>2024-01</v>
      </c>
      <c r="H12" s="12" t="str">
        <f>VLOOKUP(C12,tabela_klienci[[customer_id]:[country]],2,0)</f>
        <v>Spain</v>
      </c>
      <c r="I12" s="12" t="str">
        <f t="shared" si="1"/>
        <v>Kraj zgodny</v>
      </c>
      <c r="J12" s="16" t="str">
        <f t="shared" si="2"/>
        <v>Zamówienie standardowe</v>
      </c>
    </row>
    <row r="13" spans="1:12" x14ac:dyDescent="0.2">
      <c r="A13" s="15">
        <f>tabela_zamowienia[[#This Row],[order_id]]</f>
        <v>11</v>
      </c>
      <c r="B13" s="11">
        <f>tabela_zamowienia[[#This Row],[order_date]]</f>
        <v>45306</v>
      </c>
      <c r="C13" s="10">
        <f>tabela_zamowienia[[#This Row],[customer_id]]</f>
        <v>1</v>
      </c>
      <c r="D13" s="12" t="str">
        <f>tabela_zamowienia[[#This Row],[ship_country]]</f>
        <v>Poland</v>
      </c>
      <c r="E13" s="13">
        <f>tabela_zamowienia[[#This Row],[order_value]]</f>
        <v>1628.98</v>
      </c>
      <c r="F13" s="12" t="str">
        <f>tabela_zamowienia[[#This Row],[has_discount]]</f>
        <v>NIE</v>
      </c>
      <c r="G13" s="11" t="str">
        <f t="shared" si="0"/>
        <v>2024-01</v>
      </c>
      <c r="H13" s="12" t="str">
        <f>VLOOKUP(C13,tabela_klienci[[customer_id]:[country]],2,0)</f>
        <v>Poland</v>
      </c>
      <c r="I13" s="12" t="str">
        <f t="shared" si="1"/>
        <v>Kraj zgodny</v>
      </c>
      <c r="J13" s="16" t="str">
        <f t="shared" si="2"/>
        <v>Zamówienie standardowe</v>
      </c>
    </row>
    <row r="14" spans="1:12" x14ac:dyDescent="0.2">
      <c r="A14" s="15">
        <f>tabela_zamowienia[[#This Row],[order_id]]</f>
        <v>12</v>
      </c>
      <c r="B14" s="11">
        <f>tabela_zamowienia[[#This Row],[order_date]]</f>
        <v>45308</v>
      </c>
      <c r="C14" s="10">
        <f>tabela_zamowienia[[#This Row],[customer_id]]</f>
        <v>3</v>
      </c>
      <c r="D14" s="12" t="str">
        <f>tabela_zamowienia[[#This Row],[ship_country]]</f>
        <v>USA</v>
      </c>
      <c r="E14" s="13">
        <f>tabela_zamowienia[[#This Row],[order_value]]</f>
        <v>264.3</v>
      </c>
      <c r="F14" s="12" t="str">
        <f>tabela_zamowienia[[#This Row],[has_discount]]</f>
        <v>TAK</v>
      </c>
      <c r="G14" s="11" t="str">
        <f t="shared" si="0"/>
        <v>2024-01</v>
      </c>
      <c r="H14" s="12" t="str">
        <f>VLOOKUP(C14,tabela_klienci[[customer_id]:[country]],2,0)</f>
        <v>USA</v>
      </c>
      <c r="I14" s="12" t="str">
        <f t="shared" si="1"/>
        <v>Kraj zgodny</v>
      </c>
      <c r="J14" s="16" t="str">
        <f t="shared" si="2"/>
        <v>Zamówienie z rabatem lub niskiej wartości</v>
      </c>
    </row>
    <row r="15" spans="1:12" x14ac:dyDescent="0.2">
      <c r="A15" s="15">
        <f>tabela_zamowienia[[#This Row],[order_id]]</f>
        <v>13</v>
      </c>
      <c r="B15" s="11">
        <f>tabela_zamowienia[[#This Row],[order_date]]</f>
        <v>45309</v>
      </c>
      <c r="C15" s="10">
        <f>tabela_zamowienia[[#This Row],[customer_id]]</f>
        <v>12</v>
      </c>
      <c r="D15" s="12" t="str">
        <f>tabela_zamowienia[[#This Row],[ship_country]]</f>
        <v>USA</v>
      </c>
      <c r="E15" s="13">
        <f>tabela_zamowienia[[#This Row],[order_value]]</f>
        <v>212.71</v>
      </c>
      <c r="F15" s="12" t="str">
        <f>tabela_zamowienia[[#This Row],[has_discount]]</f>
        <v>TAK</v>
      </c>
      <c r="G15" s="11" t="str">
        <f t="shared" si="0"/>
        <v>2024-01</v>
      </c>
      <c r="H15" s="12" t="str">
        <f>VLOOKUP(C15,tabela_klienci[[customer_id]:[country]],2,0)</f>
        <v>USA</v>
      </c>
      <c r="I15" s="12" t="str">
        <f t="shared" si="1"/>
        <v>Kraj zgodny</v>
      </c>
      <c r="J15" s="16" t="str">
        <f t="shared" si="2"/>
        <v>Zamówienie z rabatem lub niskiej wartości</v>
      </c>
    </row>
    <row r="16" spans="1:12" x14ac:dyDescent="0.2">
      <c r="A16" s="15">
        <f>tabela_zamowienia[[#This Row],[order_id]]</f>
        <v>14</v>
      </c>
      <c r="B16" s="11">
        <f>tabela_zamowienia[[#This Row],[order_date]]</f>
        <v>45310</v>
      </c>
      <c r="C16" s="10">
        <f>tabela_zamowienia[[#This Row],[customer_id]]</f>
        <v>13</v>
      </c>
      <c r="D16" s="12" t="str">
        <f>tabela_zamowienia[[#This Row],[ship_country]]</f>
        <v>UK</v>
      </c>
      <c r="E16" s="13">
        <f>tabela_zamowienia[[#This Row],[order_value]]</f>
        <v>826.9</v>
      </c>
      <c r="F16" s="12" t="str">
        <f>tabela_zamowienia[[#This Row],[has_discount]]</f>
        <v>NIE</v>
      </c>
      <c r="G16" s="11" t="str">
        <f t="shared" si="0"/>
        <v>2024-01</v>
      </c>
      <c r="H16" s="12" t="str">
        <f>VLOOKUP(C16,tabela_klienci[[customer_id]:[country]],2,0)</f>
        <v>UK</v>
      </c>
      <c r="I16" s="12" t="str">
        <f t="shared" si="1"/>
        <v>Kraj zgodny</v>
      </c>
      <c r="J16" s="16" t="str">
        <f t="shared" si="2"/>
        <v>Zamówienie standardowe</v>
      </c>
    </row>
    <row r="17" spans="1:10" x14ac:dyDescent="0.2">
      <c r="A17" s="15">
        <f>tabela_zamowienia[[#This Row],[order_id]]</f>
        <v>15</v>
      </c>
      <c r="B17" s="11">
        <f>tabela_zamowienia[[#This Row],[order_date]]</f>
        <v>45311</v>
      </c>
      <c r="C17" s="10">
        <f>tabela_zamowienia[[#This Row],[customer_id]]</f>
        <v>14</v>
      </c>
      <c r="D17" s="12" t="str">
        <f>tabela_zamowienia[[#This Row],[ship_country]]</f>
        <v>UK</v>
      </c>
      <c r="E17" s="13">
        <f>tabela_zamowienia[[#This Row],[order_value]]</f>
        <v>998.98</v>
      </c>
      <c r="F17" s="12" t="str">
        <f>tabela_zamowienia[[#This Row],[has_discount]]</f>
        <v>NIE</v>
      </c>
      <c r="G17" s="11" t="str">
        <f t="shared" si="0"/>
        <v>2024-01</v>
      </c>
      <c r="H17" s="12" t="str">
        <f>VLOOKUP(C17,tabela_klienci[[customer_id]:[country]],2,0)</f>
        <v>UK</v>
      </c>
      <c r="I17" s="12" t="str">
        <f t="shared" si="1"/>
        <v>Kraj zgodny</v>
      </c>
      <c r="J17" s="16" t="str">
        <f t="shared" si="2"/>
        <v>Zamówienie standardowe</v>
      </c>
    </row>
    <row r="18" spans="1:10" x14ac:dyDescent="0.2">
      <c r="A18" s="15">
        <f>tabela_zamowienia[[#This Row],[order_id]]</f>
        <v>16</v>
      </c>
      <c r="B18" s="11">
        <f>tabela_zamowienia[[#This Row],[order_date]]</f>
        <v>45312</v>
      </c>
      <c r="C18" s="10">
        <f>tabela_zamowienia[[#This Row],[customer_id]]</f>
        <v>15</v>
      </c>
      <c r="D18" s="12" t="str">
        <f>tabela_zamowienia[[#This Row],[ship_country]]</f>
        <v>USA</v>
      </c>
      <c r="E18" s="13">
        <f>tabela_zamowienia[[#This Row],[order_value]]</f>
        <v>268.39</v>
      </c>
      <c r="F18" s="12" t="str">
        <f>tabela_zamowienia[[#This Row],[has_discount]]</f>
        <v>NIE</v>
      </c>
      <c r="G18" s="11" t="str">
        <f t="shared" si="0"/>
        <v>2024-01</v>
      </c>
      <c r="H18" s="12" t="str">
        <f>VLOOKUP(C18,tabela_klienci[[customer_id]:[country]],2,0)</f>
        <v>USA</v>
      </c>
      <c r="I18" s="12" t="str">
        <f t="shared" si="1"/>
        <v>Kraj zgodny</v>
      </c>
      <c r="J18" s="16" t="str">
        <f t="shared" si="2"/>
        <v>Zamówienie standardowe</v>
      </c>
    </row>
    <row r="19" spans="1:10" x14ac:dyDescent="0.2">
      <c r="A19" s="15">
        <f>tabela_zamowienia[[#This Row],[order_id]]</f>
        <v>17</v>
      </c>
      <c r="B19" s="11">
        <f>tabela_zamowienia[[#This Row],[order_date]]</f>
        <v>45313</v>
      </c>
      <c r="C19" s="10">
        <f>tabela_zamowienia[[#This Row],[customer_id]]</f>
        <v>16</v>
      </c>
      <c r="D19" s="12" t="str">
        <f>tabela_zamowienia[[#This Row],[ship_country]]</f>
        <v>France</v>
      </c>
      <c r="E19" s="13">
        <f>tabela_zamowienia[[#This Row],[order_value]]</f>
        <v>449.79</v>
      </c>
      <c r="F19" s="12" t="str">
        <f>tabela_zamowienia[[#This Row],[has_discount]]</f>
        <v>NIE</v>
      </c>
      <c r="G19" s="11" t="str">
        <f t="shared" si="0"/>
        <v>2024-01</v>
      </c>
      <c r="H19" s="12" t="str">
        <f>VLOOKUP(C19,tabela_klienci[[customer_id]:[country]],2,0)</f>
        <v>France</v>
      </c>
      <c r="I19" s="12" t="str">
        <f t="shared" si="1"/>
        <v>Kraj zgodny</v>
      </c>
      <c r="J19" s="16" t="str">
        <f t="shared" si="2"/>
        <v>Zamówienie standardowe</v>
      </c>
    </row>
    <row r="20" spans="1:10" x14ac:dyDescent="0.2">
      <c r="A20" s="15">
        <f>tabela_zamowienia[[#This Row],[order_id]]</f>
        <v>18</v>
      </c>
      <c r="B20" s="11">
        <f>tabela_zamowienia[[#This Row],[order_date]]</f>
        <v>45314</v>
      </c>
      <c r="C20" s="10">
        <f>tabela_zamowienia[[#This Row],[customer_id]]</f>
        <v>17</v>
      </c>
      <c r="D20" s="12" t="str">
        <f>tabela_zamowienia[[#This Row],[ship_country]]</f>
        <v>Canada</v>
      </c>
      <c r="E20" s="13">
        <f>tabela_zamowienia[[#This Row],[order_value]]</f>
        <v>248.8</v>
      </c>
      <c r="F20" s="12" t="str">
        <f>tabela_zamowienia[[#This Row],[has_discount]]</f>
        <v>NIE</v>
      </c>
      <c r="G20" s="11" t="str">
        <f t="shared" si="0"/>
        <v>2024-01</v>
      </c>
      <c r="H20" s="12" t="str">
        <f>VLOOKUP(C20,tabela_klienci[[customer_id]:[country]],2,0)</f>
        <v>Canada</v>
      </c>
      <c r="I20" s="12" t="str">
        <f t="shared" si="1"/>
        <v>Kraj zgodny</v>
      </c>
      <c r="J20" s="16" t="str">
        <f t="shared" si="2"/>
        <v>Zamówienie standardowe</v>
      </c>
    </row>
    <row r="21" spans="1:10" x14ac:dyDescent="0.2">
      <c r="A21" s="15">
        <f>tabela_zamowienia[[#This Row],[order_id]]</f>
        <v>19</v>
      </c>
      <c r="B21" s="11">
        <f>tabela_zamowienia[[#This Row],[order_date]]</f>
        <v>45315</v>
      </c>
      <c r="C21" s="10">
        <f>tabela_zamowienia[[#This Row],[customer_id]]</f>
        <v>18</v>
      </c>
      <c r="D21" s="12" t="str">
        <f>tabela_zamowienia[[#This Row],[ship_country]]</f>
        <v>Spain</v>
      </c>
      <c r="E21" s="13">
        <f>tabela_zamowienia[[#This Row],[order_value]]</f>
        <v>398</v>
      </c>
      <c r="F21" s="12" t="str">
        <f>tabela_zamowienia[[#This Row],[has_discount]]</f>
        <v>NIE</v>
      </c>
      <c r="G21" s="11" t="str">
        <f t="shared" si="0"/>
        <v>2024-01</v>
      </c>
      <c r="H21" s="12" t="str">
        <f>VLOOKUP(C21,tabela_klienci[[customer_id]:[country]],2,0)</f>
        <v>Spain</v>
      </c>
      <c r="I21" s="12" t="str">
        <f t="shared" si="1"/>
        <v>Kraj zgodny</v>
      </c>
      <c r="J21" s="16" t="str">
        <f t="shared" si="2"/>
        <v>Zamówienie standardowe</v>
      </c>
    </row>
    <row r="22" spans="1:10" x14ac:dyDescent="0.2">
      <c r="A22" s="15">
        <f>tabela_zamowienia[[#This Row],[order_id]]</f>
        <v>20</v>
      </c>
      <c r="B22" s="11">
        <f>tabela_zamowienia[[#This Row],[order_date]]</f>
        <v>45316</v>
      </c>
      <c r="C22" s="10">
        <f>tabela_zamowienia[[#This Row],[customer_id]]</f>
        <v>19</v>
      </c>
      <c r="D22" s="12" t="str">
        <f>tabela_zamowienia[[#This Row],[ship_country]]</f>
        <v>South Korea</v>
      </c>
      <c r="E22" s="13">
        <f>tabela_zamowienia[[#This Row],[order_value]]</f>
        <v>402.3</v>
      </c>
      <c r="F22" s="12" t="str">
        <f>tabela_zamowienia[[#This Row],[has_discount]]</f>
        <v>TAK</v>
      </c>
      <c r="G22" s="11" t="str">
        <f t="shared" si="0"/>
        <v>2024-01</v>
      </c>
      <c r="H22" s="12" t="str">
        <f>VLOOKUP(C22,tabela_klienci[[customer_id]:[country]],2,0)</f>
        <v>South Korea</v>
      </c>
      <c r="I22" s="12" t="str">
        <f t="shared" si="1"/>
        <v>Kraj zgodny</v>
      </c>
      <c r="J22" s="16" t="str">
        <f t="shared" si="2"/>
        <v>Zamówienie z rabatem lub niskiej wartości</v>
      </c>
    </row>
    <row r="23" spans="1:10" x14ac:dyDescent="0.2">
      <c r="A23" s="15">
        <f>tabela_zamowienia[[#This Row],[order_id]]</f>
        <v>21</v>
      </c>
      <c r="B23" s="11">
        <f>tabela_zamowienia[[#This Row],[order_date]]</f>
        <v>45317</v>
      </c>
      <c r="C23" s="10">
        <f>tabela_zamowienia[[#This Row],[customer_id]]</f>
        <v>20</v>
      </c>
      <c r="D23" s="12" t="str">
        <f>tabela_zamowienia[[#This Row],[ship_country]]</f>
        <v>UK</v>
      </c>
      <c r="E23" s="13">
        <f>tabela_zamowienia[[#This Row],[order_value]]</f>
        <v>857.98</v>
      </c>
      <c r="F23" s="12" t="str">
        <f>tabela_zamowienia[[#This Row],[has_discount]]</f>
        <v>NIE</v>
      </c>
      <c r="G23" s="11" t="str">
        <f t="shared" si="0"/>
        <v>2024-01</v>
      </c>
      <c r="H23" s="12" t="str">
        <f>VLOOKUP(C23,tabela_klienci[[customer_id]:[country]],2,0)</f>
        <v>UK</v>
      </c>
      <c r="I23" s="12" t="str">
        <f t="shared" si="1"/>
        <v>Kraj zgodny</v>
      </c>
      <c r="J23" s="16" t="str">
        <f t="shared" si="2"/>
        <v>Zamówienie standardowe</v>
      </c>
    </row>
    <row r="24" spans="1:10" x14ac:dyDescent="0.2">
      <c r="A24" s="15">
        <f>tabela_zamowienia[[#This Row],[order_id]]</f>
        <v>22</v>
      </c>
      <c r="B24" s="11">
        <f>tabela_zamowienia[[#This Row],[order_date]]</f>
        <v>45318</v>
      </c>
      <c r="C24" s="10">
        <f>tabela_zamowienia[[#This Row],[customer_id]]</f>
        <v>21</v>
      </c>
      <c r="D24" s="12" t="str">
        <f>tabela_zamowienia[[#This Row],[ship_country]]</f>
        <v>USA</v>
      </c>
      <c r="E24" s="13">
        <f>tabela_zamowienia[[#This Row],[order_value]]</f>
        <v>219.7</v>
      </c>
      <c r="F24" s="12" t="str">
        <f>tabela_zamowienia[[#This Row],[has_discount]]</f>
        <v>NIE</v>
      </c>
      <c r="G24" s="11" t="str">
        <f t="shared" si="0"/>
        <v>2024-01</v>
      </c>
      <c r="H24" s="12" t="str">
        <f>VLOOKUP(C24,tabela_klienci[[customer_id]:[country]],2,0)</f>
        <v>USA</v>
      </c>
      <c r="I24" s="12" t="str">
        <f t="shared" si="1"/>
        <v>Kraj zgodny</v>
      </c>
      <c r="J24" s="16" t="str">
        <f t="shared" si="2"/>
        <v>Zamówienie standardowe</v>
      </c>
    </row>
    <row r="25" spans="1:10" x14ac:dyDescent="0.2">
      <c r="A25" s="15">
        <f>tabela_zamowienia[[#This Row],[order_id]]</f>
        <v>23</v>
      </c>
      <c r="B25" s="11">
        <f>tabela_zamowienia[[#This Row],[order_date]]</f>
        <v>45319</v>
      </c>
      <c r="C25" s="10">
        <f>tabela_zamowienia[[#This Row],[customer_id]]</f>
        <v>22</v>
      </c>
      <c r="D25" s="12" t="str">
        <f>tabela_zamowienia[[#This Row],[ship_country]]</f>
        <v>Poland</v>
      </c>
      <c r="E25" s="13">
        <f>tabela_zamowienia[[#This Row],[order_value]]</f>
        <v>144.38999999999999</v>
      </c>
      <c r="F25" s="12" t="str">
        <f>tabela_zamowienia[[#This Row],[has_discount]]</f>
        <v>NIE</v>
      </c>
      <c r="G25" s="11" t="str">
        <f t="shared" si="0"/>
        <v>2024-01</v>
      </c>
      <c r="H25" s="12" t="str">
        <f>VLOOKUP(C25,tabela_klienci[[customer_id]:[country]],2,0)</f>
        <v>Poland</v>
      </c>
      <c r="I25" s="12" t="str">
        <f t="shared" si="1"/>
        <v>Kraj zgodny</v>
      </c>
      <c r="J25" s="16" t="str">
        <f t="shared" si="2"/>
        <v>Zamówienie standardowe</v>
      </c>
    </row>
    <row r="26" spans="1:10" x14ac:dyDescent="0.2">
      <c r="A26" s="15">
        <f>tabela_zamowienia[[#This Row],[order_id]]</f>
        <v>24</v>
      </c>
      <c r="B26" s="11">
        <f>tabela_zamowienia[[#This Row],[order_date]]</f>
        <v>45320</v>
      </c>
      <c r="C26" s="10">
        <f>tabela_zamowienia[[#This Row],[customer_id]]</f>
        <v>23</v>
      </c>
      <c r="D26" s="12" t="str">
        <f>tabela_zamowienia[[#This Row],[ship_country]]</f>
        <v>Spain</v>
      </c>
      <c r="E26" s="13">
        <f>tabela_zamowienia[[#This Row],[order_value]]</f>
        <v>5998.88</v>
      </c>
      <c r="F26" s="12" t="str">
        <f>tabela_zamowienia[[#This Row],[has_discount]]</f>
        <v>NIE</v>
      </c>
      <c r="G26" s="11" t="str">
        <f t="shared" si="0"/>
        <v>2024-01</v>
      </c>
      <c r="H26" s="12" t="str">
        <f>VLOOKUP(C26,tabela_klienci[[customer_id]:[country]],2,0)</f>
        <v>Spain</v>
      </c>
      <c r="I26" s="12" t="str">
        <f t="shared" si="1"/>
        <v>Kraj zgodny</v>
      </c>
      <c r="J26" s="16" t="str">
        <f t="shared" si="2"/>
        <v>Zamówienie standardowe</v>
      </c>
    </row>
    <row r="27" spans="1:10" x14ac:dyDescent="0.2">
      <c r="A27" s="15">
        <f>tabela_zamowienia[[#This Row],[order_id]]</f>
        <v>25</v>
      </c>
      <c r="B27" s="11">
        <f>tabela_zamowienia[[#This Row],[order_date]]</f>
        <v>45321</v>
      </c>
      <c r="C27" s="10">
        <f>tabela_zamowienia[[#This Row],[customer_id]]</f>
        <v>24</v>
      </c>
      <c r="D27" s="12" t="str">
        <f>tabela_zamowienia[[#This Row],[ship_country]]</f>
        <v>Poland</v>
      </c>
      <c r="E27" s="13">
        <f>tabela_zamowienia[[#This Row],[order_value]]</f>
        <v>488.89</v>
      </c>
      <c r="F27" s="12" t="str">
        <f>tabela_zamowienia[[#This Row],[has_discount]]</f>
        <v>NIE</v>
      </c>
      <c r="G27" s="11" t="str">
        <f t="shared" si="0"/>
        <v>2024-01</v>
      </c>
      <c r="H27" s="12" t="str">
        <f>VLOOKUP(C27,tabela_klienci[[customer_id]:[country]],2,0)</f>
        <v>Poland</v>
      </c>
      <c r="I27" s="12" t="str">
        <f t="shared" si="1"/>
        <v>Kraj zgodny</v>
      </c>
      <c r="J27" s="16" t="str">
        <f t="shared" si="2"/>
        <v>Zamówienie standardowe</v>
      </c>
    </row>
    <row r="28" spans="1:10" x14ac:dyDescent="0.2">
      <c r="A28" s="15">
        <f>tabela_zamowienia[[#This Row],[order_id]]</f>
        <v>26</v>
      </c>
      <c r="B28" s="11">
        <f>tabela_zamowienia[[#This Row],[order_date]]</f>
        <v>45323</v>
      </c>
      <c r="C28" s="10">
        <f>tabela_zamowienia[[#This Row],[customer_id]]</f>
        <v>5</v>
      </c>
      <c r="D28" s="12" t="str">
        <f>tabela_zamowienia[[#This Row],[ship_country]]</f>
        <v>Spain</v>
      </c>
      <c r="E28" s="13">
        <f>tabela_zamowienia[[#This Row],[order_value]]</f>
        <v>7797</v>
      </c>
      <c r="F28" s="12" t="str">
        <f>tabela_zamowienia[[#This Row],[has_discount]]</f>
        <v>NIE</v>
      </c>
      <c r="G28" s="11" t="str">
        <f t="shared" si="0"/>
        <v>2024-02</v>
      </c>
      <c r="H28" s="12" t="str">
        <f>VLOOKUP(C28,tabela_klienci[[customer_id]:[country]],2,0)</f>
        <v>Spain</v>
      </c>
      <c r="I28" s="12" t="str">
        <f t="shared" si="1"/>
        <v>Kraj zgodny</v>
      </c>
      <c r="J28" s="16" t="str">
        <f t="shared" si="2"/>
        <v>Zamówienie standardowe</v>
      </c>
    </row>
    <row r="29" spans="1:10" x14ac:dyDescent="0.2">
      <c r="A29" s="15">
        <f>tabela_zamowienia[[#This Row],[order_id]]</f>
        <v>27</v>
      </c>
      <c r="B29" s="11">
        <f>tabela_zamowienia[[#This Row],[order_date]]</f>
        <v>45324</v>
      </c>
      <c r="C29" s="10">
        <f>tabela_zamowienia[[#This Row],[customer_id]]</f>
        <v>6</v>
      </c>
      <c r="D29" s="12" t="str">
        <f>tabela_zamowienia[[#This Row],[ship_country]]</f>
        <v>UK</v>
      </c>
      <c r="E29" s="13">
        <f>tabela_zamowienia[[#This Row],[order_value]]</f>
        <v>6226.39</v>
      </c>
      <c r="F29" s="12" t="str">
        <f>tabela_zamowienia[[#This Row],[has_discount]]</f>
        <v>NIE</v>
      </c>
      <c r="G29" s="11" t="str">
        <f t="shared" si="0"/>
        <v>2024-02</v>
      </c>
      <c r="H29" s="12" t="str">
        <f>VLOOKUP(C29,tabela_klienci[[customer_id]:[country]],2,0)</f>
        <v>UK</v>
      </c>
      <c r="I29" s="12" t="str">
        <f t="shared" si="1"/>
        <v>Kraj zgodny</v>
      </c>
      <c r="J29" s="16" t="str">
        <f t="shared" si="2"/>
        <v>Zamówienie standardowe</v>
      </c>
    </row>
    <row r="30" spans="1:10" x14ac:dyDescent="0.2">
      <c r="A30" s="15">
        <f>tabela_zamowienia[[#This Row],[order_id]]</f>
        <v>28</v>
      </c>
      <c r="B30" s="11">
        <f>tabela_zamowienia[[#This Row],[order_date]]</f>
        <v>45325</v>
      </c>
      <c r="C30" s="10">
        <f>tabela_zamowienia[[#This Row],[customer_id]]</f>
        <v>7</v>
      </c>
      <c r="D30" s="12" t="str">
        <f>tabela_zamowienia[[#This Row],[ship_country]]</f>
        <v>Canada</v>
      </c>
      <c r="E30" s="13">
        <f>tabela_zamowienia[[#This Row],[order_value]]</f>
        <v>590.98</v>
      </c>
      <c r="F30" s="12" t="str">
        <f>tabela_zamowienia[[#This Row],[has_discount]]</f>
        <v>NIE</v>
      </c>
      <c r="G30" s="11" t="str">
        <f t="shared" si="0"/>
        <v>2024-02</v>
      </c>
      <c r="H30" s="12" t="str">
        <f>VLOOKUP(C30,tabela_klienci[[customer_id]:[country]],2,0)</f>
        <v>Canada</v>
      </c>
      <c r="I30" s="12" t="str">
        <f t="shared" si="1"/>
        <v>Kraj zgodny</v>
      </c>
      <c r="J30" s="16" t="str">
        <f t="shared" si="2"/>
        <v>Zamówienie standardowe</v>
      </c>
    </row>
    <row r="31" spans="1:10" x14ac:dyDescent="0.2">
      <c r="A31" s="15">
        <f>tabela_zamowienia[[#This Row],[order_id]]</f>
        <v>29</v>
      </c>
      <c r="B31" s="11">
        <f>tabela_zamowienia[[#This Row],[order_date]]</f>
        <v>45326</v>
      </c>
      <c r="C31" s="10">
        <f>tabela_zamowienia[[#This Row],[customer_id]]</f>
        <v>8</v>
      </c>
      <c r="D31" s="12" t="str">
        <f>tabela_zamowienia[[#This Row],[ship_country]]</f>
        <v>Poland</v>
      </c>
      <c r="E31" s="13">
        <f>tabela_zamowienia[[#This Row],[order_value]]</f>
        <v>480.99</v>
      </c>
      <c r="F31" s="12" t="str">
        <f>tabela_zamowienia[[#This Row],[has_discount]]</f>
        <v>NIE</v>
      </c>
      <c r="G31" s="11" t="str">
        <f t="shared" si="0"/>
        <v>2024-02</v>
      </c>
      <c r="H31" s="12" t="str">
        <f>VLOOKUP(C31,tabela_klienci[[customer_id]:[country]],2,0)</f>
        <v>Poland</v>
      </c>
      <c r="I31" s="12" t="str">
        <f t="shared" si="1"/>
        <v>Kraj zgodny</v>
      </c>
      <c r="J31" s="16" t="str">
        <f t="shared" si="2"/>
        <v>Zamówienie standardowe</v>
      </c>
    </row>
    <row r="32" spans="1:10" x14ac:dyDescent="0.2">
      <c r="A32" s="15">
        <f>tabela_zamowienia[[#This Row],[order_id]]</f>
        <v>41</v>
      </c>
      <c r="B32" s="11">
        <f>tabela_zamowienia[[#This Row],[order_date]]</f>
        <v>45338</v>
      </c>
      <c r="C32" s="10">
        <f>tabela_zamowienia[[#This Row],[customer_id]]</f>
        <v>20</v>
      </c>
      <c r="D32" s="12" t="str">
        <f>tabela_zamowienia[[#This Row],[ship_country]]</f>
        <v>UK</v>
      </c>
      <c r="E32" s="13">
        <f>tabela_zamowienia[[#This Row],[order_value]]</f>
        <v>1188.49</v>
      </c>
      <c r="F32" s="12" t="str">
        <f>tabela_zamowienia[[#This Row],[has_discount]]</f>
        <v>NIE</v>
      </c>
      <c r="G32" s="11" t="str">
        <f t="shared" si="0"/>
        <v>2024-02</v>
      </c>
      <c r="H32" s="12" t="str">
        <f>VLOOKUP(C32,tabela_klienci[[customer_id]:[country]],2,0)</f>
        <v>UK</v>
      </c>
      <c r="I32" s="12" t="str">
        <f t="shared" si="1"/>
        <v>Kraj zgodny</v>
      </c>
      <c r="J32" s="16" t="str">
        <f t="shared" si="2"/>
        <v>Zamówienie standardowe</v>
      </c>
    </row>
    <row r="33" spans="1:10" x14ac:dyDescent="0.2">
      <c r="A33" s="15">
        <f>tabela_zamowienia[[#This Row],[order_id]]</f>
        <v>42</v>
      </c>
      <c r="B33" s="11">
        <f>tabela_zamowienia[[#This Row],[order_date]]</f>
        <v>45339</v>
      </c>
      <c r="C33" s="10">
        <f>tabela_zamowienia[[#This Row],[customer_id]]</f>
        <v>21</v>
      </c>
      <c r="D33" s="12" t="str">
        <f>tabela_zamowienia[[#This Row],[ship_country]]</f>
        <v>USA</v>
      </c>
      <c r="E33" s="13">
        <f>tabela_zamowienia[[#This Row],[order_value]]</f>
        <v>1296.3900000000001</v>
      </c>
      <c r="F33" s="12" t="str">
        <f>tabela_zamowienia[[#This Row],[has_discount]]</f>
        <v>NIE</v>
      </c>
      <c r="G33" s="11" t="str">
        <f t="shared" si="0"/>
        <v>2024-02</v>
      </c>
      <c r="H33" s="12" t="str">
        <f>VLOOKUP(C33,tabela_klienci[[customer_id]:[country]],2,0)</f>
        <v>USA</v>
      </c>
      <c r="I33" s="12" t="str">
        <f t="shared" si="1"/>
        <v>Kraj zgodny</v>
      </c>
      <c r="J33" s="16" t="str">
        <f t="shared" si="2"/>
        <v>Zamówienie standardowe</v>
      </c>
    </row>
    <row r="34" spans="1:10" x14ac:dyDescent="0.2">
      <c r="A34" s="15">
        <f>tabela_zamowienia[[#This Row],[order_id]]</f>
        <v>43</v>
      </c>
      <c r="B34" s="11">
        <f>tabela_zamowienia[[#This Row],[order_date]]</f>
        <v>45340</v>
      </c>
      <c r="C34" s="10">
        <f>tabela_zamowienia[[#This Row],[customer_id]]</f>
        <v>22</v>
      </c>
      <c r="D34" s="12" t="str">
        <f>tabela_zamowienia[[#This Row],[ship_country]]</f>
        <v>Poland</v>
      </c>
      <c r="E34" s="13">
        <f>tabela_zamowienia[[#This Row],[order_value]]</f>
        <v>428.99</v>
      </c>
      <c r="F34" s="12" t="str">
        <f>tabela_zamowienia[[#This Row],[has_discount]]</f>
        <v>NIE</v>
      </c>
      <c r="G34" s="11" t="str">
        <f t="shared" si="0"/>
        <v>2024-02</v>
      </c>
      <c r="H34" s="12" t="str">
        <f>VLOOKUP(C34,tabela_klienci[[customer_id]:[country]],2,0)</f>
        <v>Poland</v>
      </c>
      <c r="I34" s="12" t="str">
        <f t="shared" si="1"/>
        <v>Kraj zgodny</v>
      </c>
      <c r="J34" s="16" t="str">
        <f t="shared" si="2"/>
        <v>Zamówienie standardowe</v>
      </c>
    </row>
    <row r="35" spans="1:10" x14ac:dyDescent="0.2">
      <c r="A35" s="15">
        <f>tabela_zamowienia[[#This Row],[order_id]]</f>
        <v>44</v>
      </c>
      <c r="B35" s="11">
        <f>tabela_zamowienia[[#This Row],[order_date]]</f>
        <v>45341</v>
      </c>
      <c r="C35" s="10">
        <f>tabela_zamowienia[[#This Row],[customer_id]]</f>
        <v>23</v>
      </c>
      <c r="D35" s="12" t="str">
        <f>tabela_zamowienia[[#This Row],[ship_country]]</f>
        <v>Spain</v>
      </c>
      <c r="E35" s="13">
        <f>tabela_zamowienia[[#This Row],[order_value]]</f>
        <v>150.88</v>
      </c>
      <c r="F35" s="12" t="str">
        <f>tabela_zamowienia[[#This Row],[has_discount]]</f>
        <v>NIE</v>
      </c>
      <c r="G35" s="11" t="str">
        <f t="shared" si="0"/>
        <v>2024-02</v>
      </c>
      <c r="H35" s="12" t="str">
        <f>VLOOKUP(C35,tabela_klienci[[customer_id]:[country]],2,0)</f>
        <v>Spain</v>
      </c>
      <c r="I35" s="12" t="str">
        <f t="shared" si="1"/>
        <v>Kraj zgodny</v>
      </c>
      <c r="J35" s="16" t="str">
        <f t="shared" si="2"/>
        <v>Zamówienie standardowe</v>
      </c>
    </row>
    <row r="36" spans="1:10" x14ac:dyDescent="0.2">
      <c r="A36" s="15">
        <f>tabela_zamowienia[[#This Row],[order_id]]</f>
        <v>45</v>
      </c>
      <c r="B36" s="11">
        <f>tabela_zamowienia[[#This Row],[order_date]]</f>
        <v>45342</v>
      </c>
      <c r="C36" s="10">
        <f>tabela_zamowienia[[#This Row],[customer_id]]</f>
        <v>24</v>
      </c>
      <c r="D36" s="12" t="str">
        <f>tabela_zamowienia[[#This Row],[ship_country]]</f>
        <v>Poland</v>
      </c>
      <c r="E36" s="13">
        <f>tabela_zamowienia[[#This Row],[order_value]]</f>
        <v>239.6</v>
      </c>
      <c r="F36" s="12" t="str">
        <f>tabela_zamowienia[[#This Row],[has_discount]]</f>
        <v>NIE</v>
      </c>
      <c r="G36" s="11" t="str">
        <f t="shared" si="0"/>
        <v>2024-02</v>
      </c>
      <c r="H36" s="12" t="str">
        <f>VLOOKUP(C36,tabela_klienci[[customer_id]:[country]],2,0)</f>
        <v>Poland</v>
      </c>
      <c r="I36" s="12" t="str">
        <f t="shared" si="1"/>
        <v>Kraj zgodny</v>
      </c>
      <c r="J36" s="16" t="str">
        <f t="shared" si="2"/>
        <v>Zamówienie standardowe</v>
      </c>
    </row>
    <row r="37" spans="1:10" x14ac:dyDescent="0.2">
      <c r="A37" s="15">
        <f>tabela_zamowienia[[#This Row],[order_id]]</f>
        <v>51</v>
      </c>
      <c r="B37" s="11">
        <f>tabela_zamowienia[[#This Row],[order_date]]</f>
        <v>45348</v>
      </c>
      <c r="C37" s="10">
        <f>tabela_zamowienia[[#This Row],[customer_id]]</f>
        <v>2</v>
      </c>
      <c r="D37" s="12" t="str">
        <f>tabela_zamowienia[[#This Row],[ship_country]]</f>
        <v>Poland</v>
      </c>
      <c r="E37" s="13">
        <f>tabela_zamowienia[[#This Row],[order_value]]</f>
        <v>332.21</v>
      </c>
      <c r="F37" s="12" t="str">
        <f>tabela_zamowienia[[#This Row],[has_discount]]</f>
        <v>TAK</v>
      </c>
      <c r="G37" s="11" t="str">
        <f t="shared" si="0"/>
        <v>2024-02</v>
      </c>
      <c r="H37" s="12" t="str">
        <f>VLOOKUP(C37,tabela_klienci[[customer_id]:[country]],2,0)</f>
        <v>Poland</v>
      </c>
      <c r="I37" s="12" t="str">
        <f t="shared" si="1"/>
        <v>Kraj zgodny</v>
      </c>
      <c r="J37" s="16" t="str">
        <f t="shared" si="2"/>
        <v>Zamówienie z rabatem lub niskiej wartości</v>
      </c>
    </row>
    <row r="38" spans="1:10" x14ac:dyDescent="0.2">
      <c r="A38" s="15">
        <f>tabela_zamowienia[[#This Row],[order_id]]</f>
        <v>52</v>
      </c>
      <c r="B38" s="11">
        <f>tabela_zamowienia[[#This Row],[order_date]]</f>
        <v>45349</v>
      </c>
      <c r="C38" s="10">
        <f>tabela_zamowienia[[#This Row],[customer_id]]</f>
        <v>3</v>
      </c>
      <c r="D38" s="12" t="str">
        <f>tabela_zamowienia[[#This Row],[ship_country]]</f>
        <v>USA</v>
      </c>
      <c r="E38" s="13">
        <f>tabela_zamowienia[[#This Row],[order_value]]</f>
        <v>1483.48</v>
      </c>
      <c r="F38" s="12" t="str">
        <f>tabela_zamowienia[[#This Row],[has_discount]]</f>
        <v>TAK</v>
      </c>
      <c r="G38" s="11" t="str">
        <f t="shared" si="0"/>
        <v>2024-02</v>
      </c>
      <c r="H38" s="12" t="str">
        <f>VLOOKUP(C38,tabela_klienci[[customer_id]:[country]],2,0)</f>
        <v>USA</v>
      </c>
      <c r="I38" s="12" t="str">
        <f t="shared" si="1"/>
        <v>Kraj zgodny</v>
      </c>
      <c r="J38" s="16" t="str">
        <f t="shared" si="2"/>
        <v>Zamówienie z rabatem lub niskiej wartości</v>
      </c>
    </row>
    <row r="39" spans="1:10" x14ac:dyDescent="0.2">
      <c r="A39" s="15">
        <f>tabela_zamowienia[[#This Row],[order_id]]</f>
        <v>53</v>
      </c>
      <c r="B39" s="11">
        <f>tabela_zamowienia[[#This Row],[order_date]]</f>
        <v>45350</v>
      </c>
      <c r="C39" s="10">
        <f>tabela_zamowienia[[#This Row],[customer_id]]</f>
        <v>4</v>
      </c>
      <c r="D39" s="12" t="str">
        <f>tabela_zamowienia[[#This Row],[ship_country]]</f>
        <v>USA</v>
      </c>
      <c r="E39" s="13">
        <f>tabela_zamowienia[[#This Row],[order_value]]</f>
        <v>5532.89</v>
      </c>
      <c r="F39" s="12" t="str">
        <f>tabela_zamowienia[[#This Row],[has_discount]]</f>
        <v>NIE</v>
      </c>
      <c r="G39" s="11" t="str">
        <f t="shared" si="0"/>
        <v>2024-02</v>
      </c>
      <c r="H39" s="12" t="str">
        <f>VLOOKUP(C39,tabela_klienci[[customer_id]:[country]],2,0)</f>
        <v>USA</v>
      </c>
      <c r="I39" s="12" t="str">
        <f t="shared" si="1"/>
        <v>Kraj zgodny</v>
      </c>
      <c r="J39" s="16" t="str">
        <f t="shared" si="2"/>
        <v>Zamówienie standardowe</v>
      </c>
    </row>
    <row r="40" spans="1:10" x14ac:dyDescent="0.2">
      <c r="A40" s="15">
        <f>tabela_zamowienia[[#This Row],[order_id]]</f>
        <v>54</v>
      </c>
      <c r="B40" s="11">
        <f>tabela_zamowienia[[#This Row],[order_date]]</f>
        <v>45352</v>
      </c>
      <c r="C40" s="10">
        <f>tabela_zamowienia[[#This Row],[customer_id]]</f>
        <v>5</v>
      </c>
      <c r="D40" s="12" t="str">
        <f>tabela_zamowienia[[#This Row],[ship_country]]</f>
        <v>Spain</v>
      </c>
      <c r="E40" s="13">
        <f>tabela_zamowienia[[#This Row],[order_value]]</f>
        <v>1100.43</v>
      </c>
      <c r="F40" s="12" t="str">
        <f>tabela_zamowienia[[#This Row],[has_discount]]</f>
        <v>TAK</v>
      </c>
      <c r="G40" s="11" t="str">
        <f t="shared" si="0"/>
        <v>2024-03</v>
      </c>
      <c r="H40" s="12" t="str">
        <f>VLOOKUP(C40,tabela_klienci[[customer_id]:[country]],2,0)</f>
        <v>Spain</v>
      </c>
      <c r="I40" s="12" t="str">
        <f t="shared" si="1"/>
        <v>Kraj zgodny</v>
      </c>
      <c r="J40" s="16" t="str">
        <f t="shared" si="2"/>
        <v>Zamówienie z rabatem lub niskiej wartości</v>
      </c>
    </row>
    <row r="41" spans="1:10" x14ac:dyDescent="0.2">
      <c r="A41" s="15">
        <f>tabela_zamowienia[[#This Row],[order_id]]</f>
        <v>55</v>
      </c>
      <c r="B41" s="11">
        <f>tabela_zamowienia[[#This Row],[order_date]]</f>
        <v>45353</v>
      </c>
      <c r="C41" s="10">
        <f>tabela_zamowienia[[#This Row],[customer_id]]</f>
        <v>6</v>
      </c>
      <c r="D41" s="12" t="str">
        <f>tabela_zamowienia[[#This Row],[ship_country]]</f>
        <v>UK</v>
      </c>
      <c r="E41" s="13">
        <f>tabela_zamowienia[[#This Row],[order_value]]</f>
        <v>569.29</v>
      </c>
      <c r="F41" s="12" t="str">
        <f>tabela_zamowienia[[#This Row],[has_discount]]</f>
        <v>TAK</v>
      </c>
      <c r="G41" s="11" t="str">
        <f t="shared" si="0"/>
        <v>2024-03</v>
      </c>
      <c r="H41" s="12" t="str">
        <f>VLOOKUP(C41,tabela_klienci[[customer_id]:[country]],2,0)</f>
        <v>UK</v>
      </c>
      <c r="I41" s="12" t="str">
        <f t="shared" si="1"/>
        <v>Kraj zgodny</v>
      </c>
      <c r="J41" s="16" t="str">
        <f t="shared" si="2"/>
        <v>Zamówienie z rabatem lub niskiej wartości</v>
      </c>
    </row>
    <row r="42" spans="1:10" x14ac:dyDescent="0.2">
      <c r="A42" s="15">
        <f>tabela_zamowienia[[#This Row],[order_id]]</f>
        <v>56</v>
      </c>
      <c r="B42" s="11">
        <f>tabela_zamowienia[[#This Row],[order_date]]</f>
        <v>45354</v>
      </c>
      <c r="C42" s="10">
        <f>tabela_zamowienia[[#This Row],[customer_id]]</f>
        <v>7</v>
      </c>
      <c r="D42" s="12" t="str">
        <f>tabela_zamowienia[[#This Row],[ship_country]]</f>
        <v>Canada</v>
      </c>
      <c r="E42" s="13">
        <f>tabela_zamowienia[[#This Row],[order_value]]</f>
        <v>10646.98</v>
      </c>
      <c r="F42" s="12" t="str">
        <f>tabela_zamowienia[[#This Row],[has_discount]]</f>
        <v>NIE</v>
      </c>
      <c r="G42" s="11" t="str">
        <f t="shared" si="0"/>
        <v>2024-03</v>
      </c>
      <c r="H42" s="12" t="str">
        <f>VLOOKUP(C42,tabela_klienci[[customer_id]:[country]],2,0)</f>
        <v>Canada</v>
      </c>
      <c r="I42" s="12" t="str">
        <f t="shared" si="1"/>
        <v>Kraj zgodny</v>
      </c>
      <c r="J42" s="16" t="str">
        <f t="shared" si="2"/>
        <v>Zamówienie standardowe</v>
      </c>
    </row>
    <row r="43" spans="1:10" x14ac:dyDescent="0.2">
      <c r="A43" s="15">
        <f>tabela_zamowienia[[#This Row],[order_id]]</f>
        <v>57</v>
      </c>
      <c r="B43" s="11">
        <f>tabela_zamowienia[[#This Row],[order_date]]</f>
        <v>45355</v>
      </c>
      <c r="C43" s="10">
        <f>tabela_zamowienia[[#This Row],[customer_id]]</f>
        <v>8</v>
      </c>
      <c r="D43" s="12" t="str">
        <f>tabela_zamowienia[[#This Row],[ship_country]]</f>
        <v>Poland</v>
      </c>
      <c r="E43" s="13">
        <f>tabela_zamowienia[[#This Row],[order_value]]</f>
        <v>3398.99</v>
      </c>
      <c r="F43" s="12" t="str">
        <f>tabela_zamowienia[[#This Row],[has_discount]]</f>
        <v>NIE</v>
      </c>
      <c r="G43" s="11" t="str">
        <f t="shared" si="0"/>
        <v>2024-03</v>
      </c>
      <c r="H43" s="12" t="str">
        <f>VLOOKUP(C43,tabela_klienci[[customer_id]:[country]],2,0)</f>
        <v>Poland</v>
      </c>
      <c r="I43" s="12" t="str">
        <f t="shared" si="1"/>
        <v>Kraj zgodny</v>
      </c>
      <c r="J43" s="16" t="str">
        <f t="shared" si="2"/>
        <v>Zamówienie standardowe</v>
      </c>
    </row>
    <row r="44" spans="1:10" x14ac:dyDescent="0.2">
      <c r="A44" s="15">
        <f>tabela_zamowienia[[#This Row],[order_id]]</f>
        <v>58</v>
      </c>
      <c r="B44" s="11">
        <f>tabela_zamowienia[[#This Row],[order_date]]</f>
        <v>45356</v>
      </c>
      <c r="C44" s="10">
        <f>tabela_zamowienia[[#This Row],[customer_id]]</f>
        <v>9</v>
      </c>
      <c r="D44" s="12" t="str">
        <f>tabela_zamowienia[[#This Row],[ship_country]]</f>
        <v>Poland</v>
      </c>
      <c r="E44" s="13">
        <f>tabela_zamowienia[[#This Row],[order_value]]</f>
        <v>234.99</v>
      </c>
      <c r="F44" s="12" t="str">
        <f>tabela_zamowienia[[#This Row],[has_discount]]</f>
        <v>NIE</v>
      </c>
      <c r="G44" s="11" t="str">
        <f t="shared" si="0"/>
        <v>2024-03</v>
      </c>
      <c r="H44" s="12" t="str">
        <f>VLOOKUP(C44,tabela_klienci[[customer_id]:[country]],2,0)</f>
        <v>Poland</v>
      </c>
      <c r="I44" s="12" t="str">
        <f t="shared" si="1"/>
        <v>Kraj zgodny</v>
      </c>
      <c r="J44" s="16" t="str">
        <f t="shared" si="2"/>
        <v>Zamówienie standardowe</v>
      </c>
    </row>
    <row r="45" spans="1:10" x14ac:dyDescent="0.2">
      <c r="A45" s="15">
        <f>tabela_zamowienia[[#This Row],[order_id]]</f>
        <v>59</v>
      </c>
      <c r="B45" s="11">
        <f>tabela_zamowienia[[#This Row],[order_date]]</f>
        <v>45357</v>
      </c>
      <c r="C45" s="10">
        <f>tabela_zamowienia[[#This Row],[customer_id]]</f>
        <v>10</v>
      </c>
      <c r="D45" s="12" t="str">
        <f>tabela_zamowienia[[#This Row],[ship_country]]</f>
        <v>Spain</v>
      </c>
      <c r="E45" s="13">
        <f>tabela_zamowienia[[#This Row],[order_value]]</f>
        <v>488.48</v>
      </c>
      <c r="F45" s="12" t="str">
        <f>tabela_zamowienia[[#This Row],[has_discount]]</f>
        <v>NIE</v>
      </c>
      <c r="G45" s="11" t="str">
        <f t="shared" si="0"/>
        <v>2024-03</v>
      </c>
      <c r="H45" s="12" t="str">
        <f>VLOOKUP(C45,tabela_klienci[[customer_id]:[country]],2,0)</f>
        <v>Spain</v>
      </c>
      <c r="I45" s="12" t="str">
        <f t="shared" si="1"/>
        <v>Kraj zgodny</v>
      </c>
      <c r="J45" s="16" t="str">
        <f t="shared" si="2"/>
        <v>Zamówienie standardowe</v>
      </c>
    </row>
    <row r="46" spans="1:10" x14ac:dyDescent="0.2">
      <c r="A46" s="15">
        <f>tabela_zamowienia[[#This Row],[order_id]]</f>
        <v>60</v>
      </c>
      <c r="B46" s="11">
        <f>tabela_zamowienia[[#This Row],[order_date]]</f>
        <v>45358</v>
      </c>
      <c r="C46" s="10">
        <f>tabela_zamowienia[[#This Row],[customer_id]]</f>
        <v>11</v>
      </c>
      <c r="D46" s="12" t="str">
        <f>tabela_zamowienia[[#This Row],[ship_country]]</f>
        <v>Portugal</v>
      </c>
      <c r="E46" s="13">
        <f>tabela_zamowienia[[#This Row],[order_value]]</f>
        <v>278.69</v>
      </c>
      <c r="F46" s="12" t="str">
        <f>tabela_zamowienia[[#This Row],[has_discount]]</f>
        <v>NIE</v>
      </c>
      <c r="G46" s="11" t="str">
        <f t="shared" si="0"/>
        <v>2024-03</v>
      </c>
      <c r="H46" s="12" t="str">
        <f>VLOOKUP(C46,tabela_klienci[[customer_id]:[country]],2,0)</f>
        <v>Portugal</v>
      </c>
      <c r="I46" s="12" t="str">
        <f t="shared" si="1"/>
        <v>Kraj zgodny</v>
      </c>
      <c r="J46" s="16" t="str">
        <f t="shared" si="2"/>
        <v>Zamówienie standardowe</v>
      </c>
    </row>
    <row r="47" spans="1:10" x14ac:dyDescent="0.2">
      <c r="A47" s="15">
        <f>tabela_zamowienia[[#This Row],[order_id]]</f>
        <v>61</v>
      </c>
      <c r="B47" s="11">
        <f>tabela_zamowienia[[#This Row],[order_date]]</f>
        <v>45359</v>
      </c>
      <c r="C47" s="10">
        <f>tabela_zamowienia[[#This Row],[customer_id]]</f>
        <v>12</v>
      </c>
      <c r="D47" s="12" t="str">
        <f>tabela_zamowienia[[#This Row],[ship_country]]</f>
        <v>USA</v>
      </c>
      <c r="E47" s="13">
        <f>tabela_zamowienia[[#This Row],[order_value]]</f>
        <v>1732.88</v>
      </c>
      <c r="F47" s="12" t="str">
        <f>tabela_zamowienia[[#This Row],[has_discount]]</f>
        <v>NIE</v>
      </c>
      <c r="G47" s="11" t="str">
        <f t="shared" si="0"/>
        <v>2024-03</v>
      </c>
      <c r="H47" s="12" t="str">
        <f>VLOOKUP(C47,tabela_klienci[[customer_id]:[country]],2,0)</f>
        <v>USA</v>
      </c>
      <c r="I47" s="12" t="str">
        <f t="shared" si="1"/>
        <v>Kraj zgodny</v>
      </c>
      <c r="J47" s="16" t="str">
        <f t="shared" si="2"/>
        <v>Zamówienie standardowe</v>
      </c>
    </row>
    <row r="48" spans="1:10" x14ac:dyDescent="0.2">
      <c r="A48" s="15">
        <f>tabela_zamowienia[[#This Row],[order_id]]</f>
        <v>62</v>
      </c>
      <c r="B48" s="11">
        <f>tabela_zamowienia[[#This Row],[order_date]]</f>
        <v>45360</v>
      </c>
      <c r="C48" s="10">
        <f>tabela_zamowienia[[#This Row],[customer_id]]</f>
        <v>13</v>
      </c>
      <c r="D48" s="12" t="str">
        <f>tabela_zamowienia[[#This Row],[ship_country]]</f>
        <v>UK</v>
      </c>
      <c r="E48" s="13">
        <f>tabela_zamowienia[[#This Row],[order_value]]</f>
        <v>618.87</v>
      </c>
      <c r="F48" s="12" t="str">
        <f>tabela_zamowienia[[#This Row],[has_discount]]</f>
        <v>NIE</v>
      </c>
      <c r="G48" s="11" t="str">
        <f t="shared" si="0"/>
        <v>2024-03</v>
      </c>
      <c r="H48" s="12" t="str">
        <f>VLOOKUP(C48,tabela_klienci[[customer_id]:[country]],2,0)</f>
        <v>UK</v>
      </c>
      <c r="I48" s="12" t="str">
        <f t="shared" si="1"/>
        <v>Kraj zgodny</v>
      </c>
      <c r="J48" s="16" t="str">
        <f t="shared" si="2"/>
        <v>Zamówienie standardowe</v>
      </c>
    </row>
    <row r="49" spans="1:10" x14ac:dyDescent="0.2">
      <c r="A49" s="15">
        <f>tabela_zamowienia[[#This Row],[order_id]]</f>
        <v>63</v>
      </c>
      <c r="B49" s="11">
        <f>tabela_zamowienia[[#This Row],[order_date]]</f>
        <v>45361</v>
      </c>
      <c r="C49" s="10">
        <f>tabela_zamowienia[[#This Row],[customer_id]]</f>
        <v>14</v>
      </c>
      <c r="D49" s="12" t="str">
        <f>tabela_zamowienia[[#This Row],[ship_country]]</f>
        <v>UK</v>
      </c>
      <c r="E49" s="13">
        <f>tabela_zamowienia[[#This Row],[order_value]]</f>
        <v>5218.6899999999996</v>
      </c>
      <c r="F49" s="12" t="str">
        <f>tabela_zamowienia[[#This Row],[has_discount]]</f>
        <v>NIE</v>
      </c>
      <c r="G49" s="11" t="str">
        <f t="shared" si="0"/>
        <v>2024-03</v>
      </c>
      <c r="H49" s="12" t="str">
        <f>VLOOKUP(C49,tabela_klienci[[customer_id]:[country]],2,0)</f>
        <v>UK</v>
      </c>
      <c r="I49" s="12" t="str">
        <f t="shared" si="1"/>
        <v>Kraj zgodny</v>
      </c>
      <c r="J49" s="16" t="str">
        <f t="shared" si="2"/>
        <v>Zamówienie standardowe</v>
      </c>
    </row>
    <row r="50" spans="1:10" x14ac:dyDescent="0.2">
      <c r="A50" s="15">
        <f>tabela_zamowienia[[#This Row],[order_id]]</f>
        <v>64</v>
      </c>
      <c r="B50" s="11">
        <f>tabela_zamowienia[[#This Row],[order_date]]</f>
        <v>45362</v>
      </c>
      <c r="C50" s="10">
        <f>tabela_zamowienia[[#This Row],[customer_id]]</f>
        <v>15</v>
      </c>
      <c r="D50" s="12" t="str">
        <f>tabela_zamowienia[[#This Row],[ship_country]]</f>
        <v>USA</v>
      </c>
      <c r="E50" s="13">
        <f>tabela_zamowienia[[#This Row],[order_value]]</f>
        <v>4817.78</v>
      </c>
      <c r="F50" s="12" t="str">
        <f>tabela_zamowienia[[#This Row],[has_discount]]</f>
        <v>NIE</v>
      </c>
      <c r="G50" s="11" t="str">
        <f t="shared" si="0"/>
        <v>2024-03</v>
      </c>
      <c r="H50" s="12" t="str">
        <f>VLOOKUP(C50,tabela_klienci[[customer_id]:[country]],2,0)</f>
        <v>USA</v>
      </c>
      <c r="I50" s="12" t="str">
        <f t="shared" si="1"/>
        <v>Kraj zgodny</v>
      </c>
      <c r="J50" s="16" t="str">
        <f t="shared" si="2"/>
        <v>Zamówienie standardowe</v>
      </c>
    </row>
    <row r="51" spans="1:10" x14ac:dyDescent="0.2">
      <c r="A51" s="15">
        <f>tabela_zamowienia[[#This Row],[order_id]]</f>
        <v>65</v>
      </c>
      <c r="B51" s="11">
        <f>tabela_zamowienia[[#This Row],[order_date]]</f>
        <v>45363</v>
      </c>
      <c r="C51" s="10">
        <f>tabela_zamowienia[[#This Row],[customer_id]]</f>
        <v>16</v>
      </c>
      <c r="D51" s="12" t="str">
        <f>tabela_zamowienia[[#This Row],[ship_country]]</f>
        <v>France</v>
      </c>
      <c r="E51" s="13">
        <f>tabela_zamowienia[[#This Row],[order_value]]</f>
        <v>1577.96</v>
      </c>
      <c r="F51" s="12" t="str">
        <f>tabela_zamowienia[[#This Row],[has_discount]]</f>
        <v>NIE</v>
      </c>
      <c r="G51" s="11" t="str">
        <f t="shared" si="0"/>
        <v>2024-03</v>
      </c>
      <c r="H51" s="12" t="str">
        <f>VLOOKUP(C51,tabela_klienci[[customer_id]:[country]],2,0)</f>
        <v>France</v>
      </c>
      <c r="I51" s="12" t="str">
        <f t="shared" si="1"/>
        <v>Kraj zgodny</v>
      </c>
      <c r="J51" s="16" t="str">
        <f t="shared" si="2"/>
        <v>Zamówienie standardowe</v>
      </c>
    </row>
    <row r="52" spans="1:10" x14ac:dyDescent="0.2">
      <c r="A52" s="15">
        <f>tabela_zamowienia[[#This Row],[order_id]]</f>
        <v>66</v>
      </c>
      <c r="B52" s="11">
        <f>tabela_zamowienia[[#This Row],[order_date]]</f>
        <v>45364</v>
      </c>
      <c r="C52" s="10">
        <f>tabela_zamowienia[[#This Row],[customer_id]]</f>
        <v>17</v>
      </c>
      <c r="D52" s="12" t="str">
        <f>tabela_zamowienia[[#This Row],[ship_country]]</f>
        <v>Canada</v>
      </c>
      <c r="E52" s="13">
        <f>tabela_zamowienia[[#This Row],[order_value]]</f>
        <v>1044.8900000000001</v>
      </c>
      <c r="F52" s="12" t="str">
        <f>tabela_zamowienia[[#This Row],[has_discount]]</f>
        <v>TAK</v>
      </c>
      <c r="G52" s="11" t="str">
        <f t="shared" si="0"/>
        <v>2024-03</v>
      </c>
      <c r="H52" s="12" t="str">
        <f>VLOOKUP(C52,tabela_klienci[[customer_id]:[country]],2,0)</f>
        <v>Canada</v>
      </c>
      <c r="I52" s="12" t="str">
        <f t="shared" si="1"/>
        <v>Kraj zgodny</v>
      </c>
      <c r="J52" s="16" t="str">
        <f t="shared" si="2"/>
        <v>Zamówienie z rabatem lub niskiej wartości</v>
      </c>
    </row>
    <row r="53" spans="1:10" x14ac:dyDescent="0.2">
      <c r="A53" s="15">
        <f>tabela_zamowienia[[#This Row],[order_id]]</f>
        <v>67</v>
      </c>
      <c r="B53" s="11">
        <f>tabela_zamowienia[[#This Row],[order_date]]</f>
        <v>45365</v>
      </c>
      <c r="C53" s="10">
        <f>tabela_zamowienia[[#This Row],[customer_id]]</f>
        <v>18</v>
      </c>
      <c r="D53" s="12" t="str">
        <f>tabela_zamowienia[[#This Row],[ship_country]]</f>
        <v>Spain</v>
      </c>
      <c r="E53" s="13">
        <f>tabela_zamowienia[[#This Row],[order_value]]</f>
        <v>318.89</v>
      </c>
      <c r="F53" s="12" t="str">
        <f>tabela_zamowienia[[#This Row],[has_discount]]</f>
        <v>NIE</v>
      </c>
      <c r="G53" s="11" t="str">
        <f t="shared" si="0"/>
        <v>2024-03</v>
      </c>
      <c r="H53" s="12" t="str">
        <f>VLOOKUP(C53,tabela_klienci[[customer_id]:[country]],2,0)</f>
        <v>Spain</v>
      </c>
      <c r="I53" s="12" t="str">
        <f t="shared" si="1"/>
        <v>Kraj zgodny</v>
      </c>
      <c r="J53" s="16" t="str">
        <f t="shared" si="2"/>
        <v>Zamówienie standardowe</v>
      </c>
    </row>
    <row r="54" spans="1:10" x14ac:dyDescent="0.2">
      <c r="A54" s="15">
        <f>tabela_zamowienia[[#This Row],[order_id]]</f>
        <v>68</v>
      </c>
      <c r="B54" s="11">
        <f>tabela_zamowienia[[#This Row],[order_date]]</f>
        <v>45366</v>
      </c>
      <c r="C54" s="10">
        <f>tabela_zamowienia[[#This Row],[customer_id]]</f>
        <v>19</v>
      </c>
      <c r="D54" s="12" t="str">
        <f>tabela_zamowienia[[#This Row],[ship_country]]</f>
        <v>South Korea</v>
      </c>
      <c r="E54" s="13">
        <f>tabela_zamowienia[[#This Row],[order_value]]</f>
        <v>457.9</v>
      </c>
      <c r="F54" s="12" t="str">
        <f>tabela_zamowienia[[#This Row],[has_discount]]</f>
        <v>NIE</v>
      </c>
      <c r="G54" s="11" t="str">
        <f t="shared" si="0"/>
        <v>2024-03</v>
      </c>
      <c r="H54" s="12" t="str">
        <f>VLOOKUP(C54,tabela_klienci[[customer_id]:[country]],2,0)</f>
        <v>South Korea</v>
      </c>
      <c r="I54" s="12" t="str">
        <f t="shared" si="1"/>
        <v>Kraj zgodny</v>
      </c>
      <c r="J54" s="16" t="str">
        <f t="shared" si="2"/>
        <v>Zamówienie standardowe</v>
      </c>
    </row>
    <row r="55" spans="1:10" x14ac:dyDescent="0.2">
      <c r="A55" s="15">
        <f>tabela_zamowienia[[#This Row],[order_id]]</f>
        <v>69</v>
      </c>
      <c r="B55" s="11">
        <f>tabela_zamowienia[[#This Row],[order_date]]</f>
        <v>45367</v>
      </c>
      <c r="C55" s="10">
        <f>tabela_zamowienia[[#This Row],[customer_id]]</f>
        <v>20</v>
      </c>
      <c r="D55" s="12" t="str">
        <f>tabela_zamowienia[[#This Row],[ship_country]]</f>
        <v>UK</v>
      </c>
      <c r="E55" s="13">
        <f>tabela_zamowienia[[#This Row],[order_value]]</f>
        <v>214.89</v>
      </c>
      <c r="F55" s="12" t="str">
        <f>tabela_zamowienia[[#This Row],[has_discount]]</f>
        <v>NIE</v>
      </c>
      <c r="G55" s="11" t="str">
        <f t="shared" si="0"/>
        <v>2024-03</v>
      </c>
      <c r="H55" s="12" t="str">
        <f>VLOOKUP(C55,tabela_klienci[[customer_id]:[country]],2,0)</f>
        <v>UK</v>
      </c>
      <c r="I55" s="12" t="str">
        <f t="shared" si="1"/>
        <v>Kraj zgodny</v>
      </c>
      <c r="J55" s="16" t="str">
        <f t="shared" si="2"/>
        <v>Zamówienie standardowe</v>
      </c>
    </row>
    <row r="56" spans="1:10" x14ac:dyDescent="0.2">
      <c r="A56" s="15">
        <f>tabela_zamowienia[[#This Row],[order_id]]</f>
        <v>70</v>
      </c>
      <c r="B56" s="11">
        <f>tabela_zamowienia[[#This Row],[order_date]]</f>
        <v>45368</v>
      </c>
      <c r="C56" s="10">
        <f>tabela_zamowienia[[#This Row],[customer_id]]</f>
        <v>21</v>
      </c>
      <c r="D56" s="12" t="str">
        <f>tabela_zamowienia[[#This Row],[ship_country]]</f>
        <v>USA</v>
      </c>
      <c r="E56" s="13">
        <f>tabela_zamowienia[[#This Row],[order_value]]</f>
        <v>518.88</v>
      </c>
      <c r="F56" s="12" t="str">
        <f>tabela_zamowienia[[#This Row],[has_discount]]</f>
        <v>NIE</v>
      </c>
      <c r="G56" s="11" t="str">
        <f t="shared" si="0"/>
        <v>2024-03</v>
      </c>
      <c r="H56" s="12" t="str">
        <f>VLOOKUP(C56,tabela_klienci[[customer_id]:[country]],2,0)</f>
        <v>USA</v>
      </c>
      <c r="I56" s="12" t="str">
        <f t="shared" si="1"/>
        <v>Kraj zgodny</v>
      </c>
      <c r="J56" s="16" t="str">
        <f t="shared" si="2"/>
        <v>Zamówienie standardowe</v>
      </c>
    </row>
    <row r="57" spans="1:10" x14ac:dyDescent="0.2">
      <c r="A57" s="15">
        <f>tabela_zamowienia[[#This Row],[order_id]]</f>
        <v>71</v>
      </c>
      <c r="B57" s="11">
        <f>tabela_zamowienia[[#This Row],[order_date]]</f>
        <v>45369</v>
      </c>
      <c r="C57" s="10">
        <f>tabela_zamowienia[[#This Row],[customer_id]]</f>
        <v>22</v>
      </c>
      <c r="D57" s="12" t="str">
        <f>tabela_zamowienia[[#This Row],[ship_country]]</f>
        <v>Poland</v>
      </c>
      <c r="E57" s="13">
        <f>tabela_zamowienia[[#This Row],[order_value]]</f>
        <v>1199.5899999999999</v>
      </c>
      <c r="F57" s="12" t="str">
        <f>tabela_zamowienia[[#This Row],[has_discount]]</f>
        <v>NIE</v>
      </c>
      <c r="G57" s="11" t="str">
        <f t="shared" si="0"/>
        <v>2024-03</v>
      </c>
      <c r="H57" s="12" t="str">
        <f>VLOOKUP(C57,tabela_klienci[[customer_id]:[country]],2,0)</f>
        <v>Poland</v>
      </c>
      <c r="I57" s="12" t="str">
        <f t="shared" si="1"/>
        <v>Kraj zgodny</v>
      </c>
      <c r="J57" s="16" t="str">
        <f t="shared" si="2"/>
        <v>Zamówienie standardowe</v>
      </c>
    </row>
    <row r="58" spans="1:10" x14ac:dyDescent="0.2">
      <c r="A58" s="15">
        <f>tabela_zamowienia[[#This Row],[order_id]]</f>
        <v>72</v>
      </c>
      <c r="B58" s="11">
        <f>tabela_zamowienia[[#This Row],[order_date]]</f>
        <v>45370</v>
      </c>
      <c r="C58" s="10">
        <f>tabela_zamowienia[[#This Row],[customer_id]]</f>
        <v>23</v>
      </c>
      <c r="D58" s="12" t="str">
        <f>tabela_zamowienia[[#This Row],[ship_country]]</f>
        <v>Spain</v>
      </c>
      <c r="E58" s="13">
        <f>tabela_zamowienia[[#This Row],[order_value]]</f>
        <v>228.39</v>
      </c>
      <c r="F58" s="12" t="str">
        <f>tabela_zamowienia[[#This Row],[has_discount]]</f>
        <v>NIE</v>
      </c>
      <c r="G58" s="11" t="str">
        <f t="shared" si="0"/>
        <v>2024-03</v>
      </c>
      <c r="H58" s="12" t="str">
        <f>VLOOKUP(C58,tabela_klienci[[customer_id]:[country]],2,0)</f>
        <v>Spain</v>
      </c>
      <c r="I58" s="12" t="str">
        <f t="shared" si="1"/>
        <v>Kraj zgodny</v>
      </c>
      <c r="J58" s="16" t="str">
        <f t="shared" si="2"/>
        <v>Zamówienie standardowe</v>
      </c>
    </row>
    <row r="59" spans="1:10" x14ac:dyDescent="0.2">
      <c r="A59" s="15">
        <f>tabela_zamowienia[[#This Row],[order_id]]</f>
        <v>73</v>
      </c>
      <c r="B59" s="11">
        <f>tabela_zamowienia[[#This Row],[order_date]]</f>
        <v>45371</v>
      </c>
      <c r="C59" s="10">
        <f>tabela_zamowienia[[#This Row],[customer_id]]</f>
        <v>24</v>
      </c>
      <c r="D59" s="12" t="str">
        <f>tabela_zamowienia[[#This Row],[ship_country]]</f>
        <v>Poland</v>
      </c>
      <c r="E59" s="13">
        <f>tabela_zamowienia[[#This Row],[order_value]]</f>
        <v>10897.99</v>
      </c>
      <c r="F59" s="12" t="str">
        <f>tabela_zamowienia[[#This Row],[has_discount]]</f>
        <v>NIE</v>
      </c>
      <c r="G59" s="11" t="str">
        <f t="shared" si="0"/>
        <v>2024-03</v>
      </c>
      <c r="H59" s="12" t="str">
        <f>VLOOKUP(C59,tabela_klienci[[customer_id]:[country]],2,0)</f>
        <v>Poland</v>
      </c>
      <c r="I59" s="12" t="str">
        <f t="shared" si="1"/>
        <v>Kraj zgodny</v>
      </c>
      <c r="J59" s="16" t="str">
        <f t="shared" si="2"/>
        <v>Zamówienie standardowe</v>
      </c>
    </row>
    <row r="60" spans="1:10" x14ac:dyDescent="0.2">
      <c r="A60" s="15">
        <f>tabela_zamowienia[[#This Row],[order_id]]</f>
        <v>74</v>
      </c>
      <c r="B60" s="11">
        <f>tabela_zamowienia[[#This Row],[order_date]]</f>
        <v>45372</v>
      </c>
      <c r="C60" s="10">
        <f>tabela_zamowienia[[#This Row],[customer_id]]</f>
        <v>25</v>
      </c>
      <c r="D60" s="12" t="str">
        <f>tabela_zamowienia[[#This Row],[ship_country]]</f>
        <v>Poland</v>
      </c>
      <c r="E60" s="13">
        <f>tabela_zamowienia[[#This Row],[order_value]]</f>
        <v>129.9</v>
      </c>
      <c r="F60" s="12" t="str">
        <f>tabela_zamowienia[[#This Row],[has_discount]]</f>
        <v>NIE</v>
      </c>
      <c r="G60" s="11" t="str">
        <f t="shared" si="0"/>
        <v>2024-03</v>
      </c>
      <c r="H60" s="12" t="str">
        <f>VLOOKUP(C60,tabela_klienci[[customer_id]:[country]],2,0)</f>
        <v>Poland</v>
      </c>
      <c r="I60" s="12" t="str">
        <f t="shared" si="1"/>
        <v>Kraj zgodny</v>
      </c>
      <c r="J60" s="16" t="str">
        <f t="shared" si="2"/>
        <v>Zamówienie standardowe</v>
      </c>
    </row>
    <row r="61" spans="1:10" x14ac:dyDescent="0.2">
      <c r="A61" s="15">
        <f>tabela_zamowienia[[#This Row],[order_id]]</f>
        <v>75</v>
      </c>
      <c r="B61" s="11">
        <f>tabela_zamowienia[[#This Row],[order_date]]</f>
        <v>45373</v>
      </c>
      <c r="C61" s="10">
        <f>tabela_zamowienia[[#This Row],[customer_id]]</f>
        <v>26</v>
      </c>
      <c r="D61" s="12" t="str">
        <f>tabela_zamowienia[[#This Row],[ship_country]]</f>
        <v>Germany</v>
      </c>
      <c r="E61" s="13">
        <f>tabela_zamowienia[[#This Row],[order_value]]</f>
        <v>627.5</v>
      </c>
      <c r="F61" s="12" t="str">
        <f>tabela_zamowienia[[#This Row],[has_discount]]</f>
        <v>NIE</v>
      </c>
      <c r="G61" s="11" t="str">
        <f t="shared" si="0"/>
        <v>2024-03</v>
      </c>
      <c r="H61" s="12" t="str">
        <f>VLOOKUP(C61,tabela_klienci[[customer_id]:[country]],2,0)</f>
        <v>Germany</v>
      </c>
      <c r="I61" s="12" t="str">
        <f t="shared" si="1"/>
        <v>Kraj zgodny</v>
      </c>
      <c r="J61" s="16" t="str">
        <f t="shared" si="2"/>
        <v>Zamówienie standardowe</v>
      </c>
    </row>
    <row r="62" spans="1:10" x14ac:dyDescent="0.2">
      <c r="A62" s="15">
        <f>tabela_zamowienia[[#This Row],[order_id]]</f>
        <v>76</v>
      </c>
      <c r="B62" s="11">
        <f>tabela_zamowienia[[#This Row],[order_date]]</f>
        <v>45374</v>
      </c>
      <c r="C62" s="10">
        <f>tabela_zamowienia[[#This Row],[customer_id]]</f>
        <v>27</v>
      </c>
      <c r="D62" s="12" t="str">
        <f>tabela_zamowienia[[#This Row],[ship_country]]</f>
        <v>USA</v>
      </c>
      <c r="E62" s="13">
        <f>tabela_zamowienia[[#This Row],[order_value]]</f>
        <v>1118.8800000000001</v>
      </c>
      <c r="F62" s="12" t="str">
        <f>tabela_zamowienia[[#This Row],[has_discount]]</f>
        <v>NIE</v>
      </c>
      <c r="G62" s="11" t="str">
        <f t="shared" si="0"/>
        <v>2024-03</v>
      </c>
      <c r="H62" s="12" t="str">
        <f>VLOOKUP(C62,tabela_klienci[[customer_id]:[country]],2,0)</f>
        <v>USA</v>
      </c>
      <c r="I62" s="12" t="str">
        <f t="shared" si="1"/>
        <v>Kraj zgodny</v>
      </c>
      <c r="J62" s="16" t="str">
        <f t="shared" si="2"/>
        <v>Zamówienie standardowe</v>
      </c>
    </row>
    <row r="63" spans="1:10" x14ac:dyDescent="0.2">
      <c r="A63" s="15">
        <f>tabela_zamowienia[[#This Row],[order_id]]</f>
        <v>77</v>
      </c>
      <c r="B63" s="11">
        <f>tabela_zamowienia[[#This Row],[order_date]]</f>
        <v>45375</v>
      </c>
      <c r="C63" s="10">
        <f>tabela_zamowienia[[#This Row],[customer_id]]</f>
        <v>28</v>
      </c>
      <c r="D63" s="12" t="str">
        <f>tabela_zamowienia[[#This Row],[ship_country]]</f>
        <v>USA</v>
      </c>
      <c r="E63" s="13">
        <f>tabela_zamowienia[[#This Row],[order_value]]</f>
        <v>967</v>
      </c>
      <c r="F63" s="12" t="str">
        <f>tabela_zamowienia[[#This Row],[has_discount]]</f>
        <v>NIE</v>
      </c>
      <c r="G63" s="11" t="str">
        <f t="shared" si="0"/>
        <v>2024-03</v>
      </c>
      <c r="H63" s="12" t="str">
        <f>VLOOKUP(C63,tabela_klienci[[customer_id]:[country]],2,0)</f>
        <v>USA</v>
      </c>
      <c r="I63" s="12" t="str">
        <f t="shared" si="1"/>
        <v>Kraj zgodny</v>
      </c>
      <c r="J63" s="16" t="str">
        <f t="shared" si="2"/>
        <v>Zamówienie standardowe</v>
      </c>
    </row>
    <row r="64" spans="1:10" x14ac:dyDescent="0.2">
      <c r="A64" s="15">
        <f>tabela_zamowienia[[#This Row],[order_id]]</f>
        <v>78</v>
      </c>
      <c r="B64" s="11">
        <f>tabela_zamowienia[[#This Row],[order_date]]</f>
        <v>45376</v>
      </c>
      <c r="C64" s="10">
        <f>tabela_zamowienia[[#This Row],[customer_id]]</f>
        <v>29</v>
      </c>
      <c r="D64" s="12" t="str">
        <f>tabela_zamowienia[[#This Row],[ship_country]]</f>
        <v>USA</v>
      </c>
      <c r="E64" s="13">
        <f>tabela_zamowienia[[#This Row],[order_value]]</f>
        <v>199.98</v>
      </c>
      <c r="F64" s="12" t="str">
        <f>tabela_zamowienia[[#This Row],[has_discount]]</f>
        <v>NIE</v>
      </c>
      <c r="G64" s="11" t="str">
        <f t="shared" si="0"/>
        <v>2024-03</v>
      </c>
      <c r="H64" s="12" t="str">
        <f>VLOOKUP(C64,tabela_klienci[[customer_id]:[country]],2,0)</f>
        <v>USA</v>
      </c>
      <c r="I64" s="12" t="str">
        <f t="shared" si="1"/>
        <v>Kraj zgodny</v>
      </c>
      <c r="J64" s="16" t="str">
        <f t="shared" si="2"/>
        <v>Zamówienie standardowe</v>
      </c>
    </row>
    <row r="65" spans="1:10" x14ac:dyDescent="0.2">
      <c r="A65" s="15">
        <f>tabela_zamowienia[[#This Row],[order_id]]</f>
        <v>79</v>
      </c>
      <c r="B65" s="11">
        <f>tabela_zamowienia[[#This Row],[order_date]]</f>
        <v>45377</v>
      </c>
      <c r="C65" s="10">
        <f>tabela_zamowienia[[#This Row],[customer_id]]</f>
        <v>30</v>
      </c>
      <c r="D65" s="12" t="str">
        <f>tabela_zamowienia[[#This Row],[ship_country]]</f>
        <v>Italy</v>
      </c>
      <c r="E65" s="13">
        <f>tabela_zamowienia[[#This Row],[order_value]]</f>
        <v>5596.89</v>
      </c>
      <c r="F65" s="12" t="str">
        <f>tabela_zamowienia[[#This Row],[has_discount]]</f>
        <v>NIE</v>
      </c>
      <c r="G65" s="11" t="str">
        <f t="shared" si="0"/>
        <v>2024-03</v>
      </c>
      <c r="H65" s="12" t="str">
        <f>VLOOKUP(C65,tabela_klienci[[customer_id]:[country]],2,0)</f>
        <v>USA</v>
      </c>
      <c r="I65" s="12" t="str">
        <f t="shared" si="1"/>
        <v>Wysyłka za granicę</v>
      </c>
      <c r="J65" s="16" t="str">
        <f t="shared" si="2"/>
        <v>Zamówienie standardowe</v>
      </c>
    </row>
    <row r="66" spans="1:10" x14ac:dyDescent="0.2">
      <c r="A66" s="15">
        <f>tabela_zamowienia[[#This Row],[order_id]]</f>
        <v>80</v>
      </c>
      <c r="B66" s="11">
        <f>tabela_zamowienia[[#This Row],[order_date]]</f>
        <v>45378</v>
      </c>
      <c r="C66" s="10">
        <f>tabela_zamowienia[[#This Row],[customer_id]]</f>
        <v>31</v>
      </c>
      <c r="D66" s="12" t="str">
        <f>tabela_zamowienia[[#This Row],[ship_country]]</f>
        <v>Poland</v>
      </c>
      <c r="E66" s="13">
        <f>tabela_zamowienia[[#This Row],[order_value]]</f>
        <v>848.79</v>
      </c>
      <c r="F66" s="12" t="str">
        <f>tabela_zamowienia[[#This Row],[has_discount]]</f>
        <v>NIE</v>
      </c>
      <c r="G66" s="11" t="str">
        <f t="shared" si="0"/>
        <v>2024-03</v>
      </c>
      <c r="H66" s="12" t="str">
        <f>VLOOKUP(C66,tabela_klienci[[customer_id]:[country]],2,0)</f>
        <v>Italy</v>
      </c>
      <c r="I66" s="12" t="str">
        <f t="shared" si="1"/>
        <v>Wysyłka za granicę</v>
      </c>
      <c r="J66" s="16" t="str">
        <f t="shared" si="2"/>
        <v>Zamówienie standardowe</v>
      </c>
    </row>
    <row r="67" spans="1:10" x14ac:dyDescent="0.2">
      <c r="A67" s="15">
        <f>tabela_zamowienia[[#This Row],[order_id]]</f>
        <v>81</v>
      </c>
      <c r="B67" s="11">
        <f>tabela_zamowienia[[#This Row],[order_date]]</f>
        <v>45379</v>
      </c>
      <c r="C67" s="10">
        <f>tabela_zamowienia[[#This Row],[customer_id]]</f>
        <v>32</v>
      </c>
      <c r="D67" s="12" t="str">
        <f>tabela_zamowienia[[#This Row],[ship_country]]</f>
        <v>Poland</v>
      </c>
      <c r="E67" s="13">
        <f>tabela_zamowienia[[#This Row],[order_value]]</f>
        <v>538.48</v>
      </c>
      <c r="F67" s="12" t="str">
        <f>tabela_zamowienia[[#This Row],[has_discount]]</f>
        <v>NIE</v>
      </c>
      <c r="G67" s="11" t="str">
        <f t="shared" si="0"/>
        <v>2024-03</v>
      </c>
      <c r="H67" s="12" t="str">
        <f>VLOOKUP(C67,tabela_klienci[[customer_id]:[country]],2,0)</f>
        <v>USA</v>
      </c>
      <c r="I67" s="12" t="str">
        <f t="shared" si="1"/>
        <v>Wysyłka za granicę</v>
      </c>
      <c r="J67" s="16" t="str">
        <f t="shared" si="2"/>
        <v>Zamówienie standardowe</v>
      </c>
    </row>
    <row r="68" spans="1:10" x14ac:dyDescent="0.2">
      <c r="A68" s="15">
        <f>tabela_zamowienia[[#This Row],[order_id]]</f>
        <v>82</v>
      </c>
      <c r="B68" s="11">
        <f>tabela_zamowienia[[#This Row],[order_date]]</f>
        <v>45380</v>
      </c>
      <c r="C68" s="10">
        <f>tabela_zamowienia[[#This Row],[customer_id]]</f>
        <v>33</v>
      </c>
      <c r="D68" s="12" t="str">
        <f>tabela_zamowienia[[#This Row],[ship_country]]</f>
        <v>Sweden</v>
      </c>
      <c r="E68" s="13">
        <f>tabela_zamowienia[[#This Row],[order_value]]</f>
        <v>333.9</v>
      </c>
      <c r="F68" s="12" t="str">
        <f>tabela_zamowienia[[#This Row],[has_discount]]</f>
        <v>NIE</v>
      </c>
      <c r="G68" s="11" t="str">
        <f t="shared" ref="G68:G131" si="3">TEXT(B68,"RRRR-MM")</f>
        <v>2024-03</v>
      </c>
      <c r="H68" s="12" t="str">
        <f>VLOOKUP(C68,tabela_klienci[[customer_id]:[country]],2,0)</f>
        <v>Poland</v>
      </c>
      <c r="I68" s="12" t="str">
        <f t="shared" ref="I68:I131" si="4">IF(D68=H68,"Kraj zgodny","Wysyłka za granicę")</f>
        <v>Wysyłka za granicę</v>
      </c>
      <c r="J68" s="16" t="str">
        <f t="shared" ref="J68:J131" si="5">IF(OR(F68="TAK",E68&lt;100),"Zamówienie z rabatem lub niskiej wartości","Zamówienie standardowe")</f>
        <v>Zamówienie standardowe</v>
      </c>
    </row>
    <row r="69" spans="1:10" x14ac:dyDescent="0.2">
      <c r="A69" s="15">
        <f>tabela_zamowienia[[#This Row],[order_id]]</f>
        <v>83</v>
      </c>
      <c r="B69" s="11">
        <f>tabela_zamowienia[[#This Row],[order_date]]</f>
        <v>45381</v>
      </c>
      <c r="C69" s="10">
        <f>tabela_zamowienia[[#This Row],[customer_id]]</f>
        <v>34</v>
      </c>
      <c r="D69" s="12" t="str">
        <f>tabela_zamowienia[[#This Row],[ship_country]]</f>
        <v>Sweden</v>
      </c>
      <c r="E69" s="13">
        <f>tabela_zamowienia[[#This Row],[order_value]]</f>
        <v>3518.79</v>
      </c>
      <c r="F69" s="12" t="str">
        <f>tabela_zamowienia[[#This Row],[has_discount]]</f>
        <v>NIE</v>
      </c>
      <c r="G69" s="11" t="str">
        <f t="shared" si="3"/>
        <v>2024-03</v>
      </c>
      <c r="H69" s="12" t="str">
        <f>VLOOKUP(C69,tabela_klienci[[customer_id]:[country]],2,0)</f>
        <v>Poland</v>
      </c>
      <c r="I69" s="12" t="str">
        <f t="shared" si="4"/>
        <v>Wysyłka za granicę</v>
      </c>
      <c r="J69" s="16" t="str">
        <f t="shared" si="5"/>
        <v>Zamówienie standardowe</v>
      </c>
    </row>
    <row r="70" spans="1:10" x14ac:dyDescent="0.2">
      <c r="A70" s="15">
        <f>tabela_zamowienia[[#This Row],[order_id]]</f>
        <v>84</v>
      </c>
      <c r="B70" s="11">
        <f>tabela_zamowienia[[#This Row],[order_date]]</f>
        <v>45382</v>
      </c>
      <c r="C70" s="10">
        <f>tabela_zamowienia[[#This Row],[customer_id]]</f>
        <v>35</v>
      </c>
      <c r="D70" s="12" t="str">
        <f>tabela_zamowienia[[#This Row],[ship_country]]</f>
        <v>Poland</v>
      </c>
      <c r="E70" s="13">
        <f>tabela_zamowienia[[#This Row],[order_value]]</f>
        <v>578.87</v>
      </c>
      <c r="F70" s="12" t="str">
        <f>tabela_zamowienia[[#This Row],[has_discount]]</f>
        <v>NIE</v>
      </c>
      <c r="G70" s="11" t="str">
        <f t="shared" si="3"/>
        <v>2024-03</v>
      </c>
      <c r="H70" s="12" t="str">
        <f>VLOOKUP(C70,tabela_klienci[[customer_id]:[country]],2,0)</f>
        <v>Ukraine</v>
      </c>
      <c r="I70" s="12" t="str">
        <f t="shared" si="4"/>
        <v>Wysyłka za granicę</v>
      </c>
      <c r="J70" s="16" t="str">
        <f t="shared" si="5"/>
        <v>Zamówienie standardowe</v>
      </c>
    </row>
    <row r="71" spans="1:10" x14ac:dyDescent="0.2">
      <c r="A71" s="15">
        <f>tabela_zamowienia[[#This Row],[order_id]]</f>
        <v>85</v>
      </c>
      <c r="B71" s="11">
        <f>tabela_zamowienia[[#This Row],[order_date]]</f>
        <v>45383</v>
      </c>
      <c r="C71" s="10">
        <f>tabela_zamowienia[[#This Row],[customer_id]]</f>
        <v>36</v>
      </c>
      <c r="D71" s="12" t="str">
        <f>tabela_zamowienia[[#This Row],[ship_country]]</f>
        <v>Poland</v>
      </c>
      <c r="E71" s="13">
        <f>tabela_zamowienia[[#This Row],[order_value]]</f>
        <v>708.39</v>
      </c>
      <c r="F71" s="12" t="str">
        <f>tabela_zamowienia[[#This Row],[has_discount]]</f>
        <v>NIE</v>
      </c>
      <c r="G71" s="11" t="str">
        <f t="shared" si="3"/>
        <v>2024-04</v>
      </c>
      <c r="H71" s="12" t="str">
        <f>VLOOKUP(C71,tabela_klienci[[customer_id]:[country]],2,0)</f>
        <v>Russia</v>
      </c>
      <c r="I71" s="12" t="str">
        <f t="shared" si="4"/>
        <v>Wysyłka za granicę</v>
      </c>
      <c r="J71" s="16" t="str">
        <f t="shared" si="5"/>
        <v>Zamówienie standardowe</v>
      </c>
    </row>
    <row r="72" spans="1:10" x14ac:dyDescent="0.2">
      <c r="A72" s="15">
        <f>tabela_zamowienia[[#This Row],[order_id]]</f>
        <v>86</v>
      </c>
      <c r="B72" s="11">
        <f>tabela_zamowienia[[#This Row],[order_date]]</f>
        <v>45384</v>
      </c>
      <c r="C72" s="10">
        <f>tabela_zamowienia[[#This Row],[customer_id]]</f>
        <v>37</v>
      </c>
      <c r="D72" s="12" t="str">
        <f>tabela_zamowienia[[#This Row],[ship_country]]</f>
        <v>UK</v>
      </c>
      <c r="E72" s="13">
        <f>tabela_zamowienia[[#This Row],[order_value]]</f>
        <v>688.89</v>
      </c>
      <c r="F72" s="12" t="str">
        <f>tabela_zamowienia[[#This Row],[has_discount]]</f>
        <v>NIE</v>
      </c>
      <c r="G72" s="11" t="str">
        <f t="shared" si="3"/>
        <v>2024-04</v>
      </c>
      <c r="H72" s="12" t="str">
        <f>VLOOKUP(C72,tabela_klienci[[customer_id]:[country]],2,0)</f>
        <v>Japan</v>
      </c>
      <c r="I72" s="12" t="str">
        <f t="shared" si="4"/>
        <v>Wysyłka za granicę</v>
      </c>
      <c r="J72" s="16" t="str">
        <f t="shared" si="5"/>
        <v>Zamówienie standardowe</v>
      </c>
    </row>
    <row r="73" spans="1:10" x14ac:dyDescent="0.2">
      <c r="A73" s="15">
        <f>tabela_zamowienia[[#This Row],[order_id]]</f>
        <v>87</v>
      </c>
      <c r="B73" s="11">
        <f>tabela_zamowienia[[#This Row],[order_date]]</f>
        <v>45385</v>
      </c>
      <c r="C73" s="10">
        <f>tabela_zamowienia[[#This Row],[customer_id]]</f>
        <v>38</v>
      </c>
      <c r="D73" s="12" t="str">
        <f>tabela_zamowienia[[#This Row],[ship_country]]</f>
        <v>China</v>
      </c>
      <c r="E73" s="13">
        <f>tabela_zamowienia[[#This Row],[order_value]]</f>
        <v>187.99</v>
      </c>
      <c r="F73" s="12" t="str">
        <f>tabela_zamowienia[[#This Row],[has_discount]]</f>
        <v>NIE</v>
      </c>
      <c r="G73" s="11" t="str">
        <f t="shared" si="3"/>
        <v>2024-04</v>
      </c>
      <c r="H73" s="12" t="str">
        <f>VLOOKUP(C73,tabela_klienci[[customer_id]:[country]],2,0)</f>
        <v>UAE</v>
      </c>
      <c r="I73" s="12" t="str">
        <f t="shared" si="4"/>
        <v>Wysyłka za granicę</v>
      </c>
      <c r="J73" s="16" t="str">
        <f t="shared" si="5"/>
        <v>Zamówienie standardowe</v>
      </c>
    </row>
    <row r="74" spans="1:10" x14ac:dyDescent="0.2">
      <c r="A74" s="15">
        <f>tabela_zamowienia[[#This Row],[order_id]]</f>
        <v>88</v>
      </c>
      <c r="B74" s="11">
        <f>tabela_zamowienia[[#This Row],[order_date]]</f>
        <v>45386</v>
      </c>
      <c r="C74" s="10">
        <f>tabela_zamowienia[[#This Row],[customer_id]]</f>
        <v>39</v>
      </c>
      <c r="D74" s="12" t="str">
        <f>tabela_zamowienia[[#This Row],[ship_country]]</f>
        <v>India</v>
      </c>
      <c r="E74" s="13">
        <f>tabela_zamowienia[[#This Row],[order_value]]</f>
        <v>6307.89</v>
      </c>
      <c r="F74" s="12" t="str">
        <f>tabela_zamowienia[[#This Row],[has_discount]]</f>
        <v>NIE</v>
      </c>
      <c r="G74" s="11" t="str">
        <f t="shared" si="3"/>
        <v>2024-04</v>
      </c>
      <c r="H74" s="12" t="str">
        <f>VLOOKUP(C74,tabela_klienci[[customer_id]:[country]],2,0)</f>
        <v>China</v>
      </c>
      <c r="I74" s="12" t="str">
        <f t="shared" si="4"/>
        <v>Wysyłka za granicę</v>
      </c>
      <c r="J74" s="16" t="str">
        <f t="shared" si="5"/>
        <v>Zamówienie standardowe</v>
      </c>
    </row>
    <row r="75" spans="1:10" x14ac:dyDescent="0.2">
      <c r="A75" s="15">
        <f>tabela_zamowienia[[#This Row],[order_id]]</f>
        <v>89</v>
      </c>
      <c r="B75" s="11">
        <f>tabela_zamowienia[[#This Row],[order_date]]</f>
        <v>45387</v>
      </c>
      <c r="C75" s="10">
        <f>tabela_zamowienia[[#This Row],[customer_id]]</f>
        <v>40</v>
      </c>
      <c r="D75" s="12" t="str">
        <f>tabela_zamowienia[[#This Row],[ship_country]]</f>
        <v>Poland</v>
      </c>
      <c r="E75" s="13">
        <f>tabela_zamowienia[[#This Row],[order_value]]</f>
        <v>572.4</v>
      </c>
      <c r="F75" s="12" t="str">
        <f>tabela_zamowienia[[#This Row],[has_discount]]</f>
        <v>NIE</v>
      </c>
      <c r="G75" s="11" t="str">
        <f t="shared" si="3"/>
        <v>2024-04</v>
      </c>
      <c r="H75" s="12" t="str">
        <f>VLOOKUP(C75,tabela_klienci[[customer_id]:[country]],2,0)</f>
        <v>India</v>
      </c>
      <c r="I75" s="12" t="str">
        <f t="shared" si="4"/>
        <v>Wysyłka za granicę</v>
      </c>
      <c r="J75" s="16" t="str">
        <f t="shared" si="5"/>
        <v>Zamówienie standardowe</v>
      </c>
    </row>
    <row r="76" spans="1:10" x14ac:dyDescent="0.2">
      <c r="A76" s="15">
        <f>tabela_zamowienia[[#This Row],[order_id]]</f>
        <v>90</v>
      </c>
      <c r="B76" s="11">
        <f>tabela_zamowienia[[#This Row],[order_date]]</f>
        <v>45388</v>
      </c>
      <c r="C76" s="10">
        <f>tabela_zamowienia[[#This Row],[customer_id]]</f>
        <v>1</v>
      </c>
      <c r="D76" s="12" t="str">
        <f>tabela_zamowienia[[#This Row],[ship_country]]</f>
        <v>Poland</v>
      </c>
      <c r="E76" s="13">
        <f>tabela_zamowienia[[#This Row],[order_value]]</f>
        <v>338.9</v>
      </c>
      <c r="F76" s="12" t="str">
        <f>tabela_zamowienia[[#This Row],[has_discount]]</f>
        <v>NIE</v>
      </c>
      <c r="G76" s="11" t="str">
        <f t="shared" si="3"/>
        <v>2024-04</v>
      </c>
      <c r="H76" s="12" t="str">
        <f>VLOOKUP(C76,tabela_klienci[[customer_id]:[country]],2,0)</f>
        <v>Poland</v>
      </c>
      <c r="I76" s="12" t="str">
        <f t="shared" si="4"/>
        <v>Kraj zgodny</v>
      </c>
      <c r="J76" s="16" t="str">
        <f t="shared" si="5"/>
        <v>Zamówienie standardowe</v>
      </c>
    </row>
    <row r="77" spans="1:10" x14ac:dyDescent="0.2">
      <c r="A77" s="15">
        <f>tabela_zamowienia[[#This Row],[order_id]]</f>
        <v>91</v>
      </c>
      <c r="B77" s="11">
        <f>tabela_zamowienia[[#This Row],[order_date]]</f>
        <v>45389</v>
      </c>
      <c r="C77" s="10">
        <f>tabela_zamowienia[[#This Row],[customer_id]]</f>
        <v>2</v>
      </c>
      <c r="D77" s="12" t="str">
        <f>tabela_zamowienia[[#This Row],[ship_country]]</f>
        <v>Poland</v>
      </c>
      <c r="E77" s="13">
        <f>tabela_zamowienia[[#This Row],[order_value]]</f>
        <v>1038.8900000000001</v>
      </c>
      <c r="F77" s="12" t="str">
        <f>tabela_zamowienia[[#This Row],[has_discount]]</f>
        <v>NIE</v>
      </c>
      <c r="G77" s="11" t="str">
        <f t="shared" si="3"/>
        <v>2024-04</v>
      </c>
      <c r="H77" s="12" t="str">
        <f>VLOOKUP(C77,tabela_klienci[[customer_id]:[country]],2,0)</f>
        <v>Poland</v>
      </c>
      <c r="I77" s="12" t="str">
        <f t="shared" si="4"/>
        <v>Kraj zgodny</v>
      </c>
      <c r="J77" s="16" t="str">
        <f t="shared" si="5"/>
        <v>Zamówienie standardowe</v>
      </c>
    </row>
    <row r="78" spans="1:10" x14ac:dyDescent="0.2">
      <c r="A78" s="15">
        <f>tabela_zamowienia[[#This Row],[order_id]]</f>
        <v>92</v>
      </c>
      <c r="B78" s="11">
        <f>tabela_zamowienia[[#This Row],[order_date]]</f>
        <v>45390</v>
      </c>
      <c r="C78" s="10">
        <f>tabela_zamowienia[[#This Row],[customer_id]]</f>
        <v>3</v>
      </c>
      <c r="D78" s="12" t="str">
        <f>tabela_zamowienia[[#This Row],[ship_country]]</f>
        <v>USA</v>
      </c>
      <c r="E78" s="13">
        <f>tabela_zamowienia[[#This Row],[order_value]]</f>
        <v>2777.5</v>
      </c>
      <c r="F78" s="12" t="str">
        <f>tabela_zamowienia[[#This Row],[has_discount]]</f>
        <v>NIE</v>
      </c>
      <c r="G78" s="11" t="str">
        <f t="shared" si="3"/>
        <v>2024-04</v>
      </c>
      <c r="H78" s="12" t="str">
        <f>VLOOKUP(C78,tabela_klienci[[customer_id]:[country]],2,0)</f>
        <v>USA</v>
      </c>
      <c r="I78" s="12" t="str">
        <f t="shared" si="4"/>
        <v>Kraj zgodny</v>
      </c>
      <c r="J78" s="16" t="str">
        <f t="shared" si="5"/>
        <v>Zamówienie standardowe</v>
      </c>
    </row>
    <row r="79" spans="1:10" x14ac:dyDescent="0.2">
      <c r="A79" s="15">
        <f>tabela_zamowienia[[#This Row],[order_id]]</f>
        <v>93</v>
      </c>
      <c r="B79" s="11">
        <f>tabela_zamowienia[[#This Row],[order_date]]</f>
        <v>45391</v>
      </c>
      <c r="C79" s="10">
        <f>tabela_zamowienia[[#This Row],[customer_id]]</f>
        <v>4</v>
      </c>
      <c r="D79" s="12" t="str">
        <f>tabela_zamowienia[[#This Row],[ship_country]]</f>
        <v>USA</v>
      </c>
      <c r="E79" s="13">
        <f>tabela_zamowienia[[#This Row],[order_value]]</f>
        <v>1245.49</v>
      </c>
      <c r="F79" s="12" t="str">
        <f>tabela_zamowienia[[#This Row],[has_discount]]</f>
        <v>NIE</v>
      </c>
      <c r="G79" s="11" t="str">
        <f t="shared" si="3"/>
        <v>2024-04</v>
      </c>
      <c r="H79" s="12" t="str">
        <f>VLOOKUP(C79,tabela_klienci[[customer_id]:[country]],2,0)</f>
        <v>USA</v>
      </c>
      <c r="I79" s="12" t="str">
        <f t="shared" si="4"/>
        <v>Kraj zgodny</v>
      </c>
      <c r="J79" s="16" t="str">
        <f t="shared" si="5"/>
        <v>Zamówienie standardowe</v>
      </c>
    </row>
    <row r="80" spans="1:10" x14ac:dyDescent="0.2">
      <c r="A80" s="15">
        <f>tabela_zamowienia[[#This Row],[order_id]]</f>
        <v>94</v>
      </c>
      <c r="B80" s="11">
        <f>tabela_zamowienia[[#This Row],[order_date]]</f>
        <v>45392</v>
      </c>
      <c r="C80" s="10">
        <f>tabela_zamowienia[[#This Row],[customer_id]]</f>
        <v>5</v>
      </c>
      <c r="D80" s="12" t="str">
        <f>tabela_zamowienia[[#This Row],[ship_country]]</f>
        <v>Spain</v>
      </c>
      <c r="E80" s="13">
        <f>tabela_zamowienia[[#This Row],[order_value]]</f>
        <v>966.99</v>
      </c>
      <c r="F80" s="12" t="str">
        <f>tabela_zamowienia[[#This Row],[has_discount]]</f>
        <v>NIE</v>
      </c>
      <c r="G80" s="11" t="str">
        <f t="shared" si="3"/>
        <v>2024-04</v>
      </c>
      <c r="H80" s="12" t="str">
        <f>VLOOKUP(C80,tabela_klienci[[customer_id]:[country]],2,0)</f>
        <v>Spain</v>
      </c>
      <c r="I80" s="12" t="str">
        <f t="shared" si="4"/>
        <v>Kraj zgodny</v>
      </c>
      <c r="J80" s="16" t="str">
        <f t="shared" si="5"/>
        <v>Zamówienie standardowe</v>
      </c>
    </row>
    <row r="81" spans="1:10" x14ac:dyDescent="0.2">
      <c r="A81" s="15">
        <f>tabela_zamowienia[[#This Row],[order_id]]</f>
        <v>95</v>
      </c>
      <c r="B81" s="11">
        <f>tabela_zamowienia[[#This Row],[order_date]]</f>
        <v>45393</v>
      </c>
      <c r="C81" s="10">
        <f>tabela_zamowienia[[#This Row],[customer_id]]</f>
        <v>6</v>
      </c>
      <c r="D81" s="12" t="str">
        <f>tabela_zamowienia[[#This Row],[ship_country]]</f>
        <v>UK</v>
      </c>
      <c r="E81" s="13">
        <f>tabela_zamowienia[[#This Row],[order_value]]</f>
        <v>13175.99</v>
      </c>
      <c r="F81" s="12" t="str">
        <f>tabela_zamowienia[[#This Row],[has_discount]]</f>
        <v>NIE</v>
      </c>
      <c r="G81" s="11" t="str">
        <f t="shared" si="3"/>
        <v>2024-04</v>
      </c>
      <c r="H81" s="12" t="str">
        <f>VLOOKUP(C81,tabela_klienci[[customer_id]:[country]],2,0)</f>
        <v>UK</v>
      </c>
      <c r="I81" s="12" t="str">
        <f t="shared" si="4"/>
        <v>Kraj zgodny</v>
      </c>
      <c r="J81" s="16" t="str">
        <f t="shared" si="5"/>
        <v>Zamówienie standardowe</v>
      </c>
    </row>
    <row r="82" spans="1:10" x14ac:dyDescent="0.2">
      <c r="A82" s="15">
        <f>tabela_zamowienia[[#This Row],[order_id]]</f>
        <v>96</v>
      </c>
      <c r="B82" s="11">
        <f>tabela_zamowienia[[#This Row],[order_date]]</f>
        <v>45394</v>
      </c>
      <c r="C82" s="10">
        <f>tabela_zamowienia[[#This Row],[customer_id]]</f>
        <v>7</v>
      </c>
      <c r="D82" s="12" t="str">
        <f>tabela_zamowienia[[#This Row],[ship_country]]</f>
        <v>Canada</v>
      </c>
      <c r="E82" s="13">
        <f>tabela_zamowienia[[#This Row],[order_value]]</f>
        <v>513.9</v>
      </c>
      <c r="F82" s="12" t="str">
        <f>tabela_zamowienia[[#This Row],[has_discount]]</f>
        <v>NIE</v>
      </c>
      <c r="G82" s="11" t="str">
        <f t="shared" si="3"/>
        <v>2024-04</v>
      </c>
      <c r="H82" s="12" t="str">
        <f>VLOOKUP(C82,tabela_klienci[[customer_id]:[country]],2,0)</f>
        <v>Canada</v>
      </c>
      <c r="I82" s="12" t="str">
        <f t="shared" si="4"/>
        <v>Kraj zgodny</v>
      </c>
      <c r="J82" s="16" t="str">
        <f t="shared" si="5"/>
        <v>Zamówienie standardowe</v>
      </c>
    </row>
    <row r="83" spans="1:10" x14ac:dyDescent="0.2">
      <c r="A83" s="15">
        <f>tabela_zamowienia[[#This Row],[order_id]]</f>
        <v>97</v>
      </c>
      <c r="B83" s="11">
        <f>tabela_zamowienia[[#This Row],[order_date]]</f>
        <v>45395</v>
      </c>
      <c r="C83" s="10">
        <f>tabela_zamowienia[[#This Row],[customer_id]]</f>
        <v>8</v>
      </c>
      <c r="D83" s="12" t="str">
        <f>tabela_zamowienia[[#This Row],[ship_country]]</f>
        <v>Poland</v>
      </c>
      <c r="E83" s="13">
        <f>tabela_zamowienia[[#This Row],[order_value]]</f>
        <v>6788.38</v>
      </c>
      <c r="F83" s="12" t="str">
        <f>tabela_zamowienia[[#This Row],[has_discount]]</f>
        <v>NIE</v>
      </c>
      <c r="G83" s="11" t="str">
        <f t="shared" si="3"/>
        <v>2024-04</v>
      </c>
      <c r="H83" s="12" t="str">
        <f>VLOOKUP(C83,tabela_klienci[[customer_id]:[country]],2,0)</f>
        <v>Poland</v>
      </c>
      <c r="I83" s="12" t="str">
        <f t="shared" si="4"/>
        <v>Kraj zgodny</v>
      </c>
      <c r="J83" s="16" t="str">
        <f t="shared" si="5"/>
        <v>Zamówienie standardowe</v>
      </c>
    </row>
    <row r="84" spans="1:10" x14ac:dyDescent="0.2">
      <c r="A84" s="15">
        <f>tabela_zamowienia[[#This Row],[order_id]]</f>
        <v>98</v>
      </c>
      <c r="B84" s="11">
        <f>tabela_zamowienia[[#This Row],[order_date]]</f>
        <v>45396</v>
      </c>
      <c r="C84" s="10">
        <f>tabela_zamowienia[[#This Row],[customer_id]]</f>
        <v>9</v>
      </c>
      <c r="D84" s="12" t="str">
        <f>tabela_zamowienia[[#This Row],[ship_country]]</f>
        <v>Poland</v>
      </c>
      <c r="E84" s="13">
        <f>tabela_zamowienia[[#This Row],[order_value]]</f>
        <v>1232.68</v>
      </c>
      <c r="F84" s="12" t="str">
        <f>tabela_zamowienia[[#This Row],[has_discount]]</f>
        <v>NIE</v>
      </c>
      <c r="G84" s="11" t="str">
        <f t="shared" si="3"/>
        <v>2024-04</v>
      </c>
      <c r="H84" s="12" t="str">
        <f>VLOOKUP(C84,tabela_klienci[[customer_id]:[country]],2,0)</f>
        <v>Poland</v>
      </c>
      <c r="I84" s="12" t="str">
        <f t="shared" si="4"/>
        <v>Kraj zgodny</v>
      </c>
      <c r="J84" s="16" t="str">
        <f t="shared" si="5"/>
        <v>Zamówienie standardowe</v>
      </c>
    </row>
    <row r="85" spans="1:10" x14ac:dyDescent="0.2">
      <c r="A85" s="15">
        <f>tabela_zamowienia[[#This Row],[order_id]]</f>
        <v>99</v>
      </c>
      <c r="B85" s="11">
        <f>tabela_zamowienia[[#This Row],[order_date]]</f>
        <v>45397</v>
      </c>
      <c r="C85" s="10">
        <f>tabela_zamowienia[[#This Row],[customer_id]]</f>
        <v>10</v>
      </c>
      <c r="D85" s="12" t="str">
        <f>tabela_zamowienia[[#This Row],[ship_country]]</f>
        <v>Spain</v>
      </c>
      <c r="E85" s="13">
        <f>tabela_zamowienia[[#This Row],[order_value]]</f>
        <v>937.6</v>
      </c>
      <c r="F85" s="12" t="str">
        <f>tabela_zamowienia[[#This Row],[has_discount]]</f>
        <v>NIE</v>
      </c>
      <c r="G85" s="11" t="str">
        <f t="shared" si="3"/>
        <v>2024-04</v>
      </c>
      <c r="H85" s="12" t="str">
        <f>VLOOKUP(C85,tabela_klienci[[customer_id]:[country]],2,0)</f>
        <v>Spain</v>
      </c>
      <c r="I85" s="12" t="str">
        <f t="shared" si="4"/>
        <v>Kraj zgodny</v>
      </c>
      <c r="J85" s="16" t="str">
        <f t="shared" si="5"/>
        <v>Zamówienie standardowe</v>
      </c>
    </row>
    <row r="86" spans="1:10" x14ac:dyDescent="0.2">
      <c r="A86" s="15">
        <f>tabela_zamowienia[[#This Row],[order_id]]</f>
        <v>100</v>
      </c>
      <c r="B86" s="11">
        <f>tabela_zamowienia[[#This Row],[order_date]]</f>
        <v>45413</v>
      </c>
      <c r="C86" s="10">
        <f>tabela_zamowienia[[#This Row],[customer_id]]</f>
        <v>12</v>
      </c>
      <c r="D86" s="12" t="str">
        <f>tabela_zamowienia[[#This Row],[ship_country]]</f>
        <v>USA</v>
      </c>
      <c r="E86" s="13">
        <f>tabela_zamowienia[[#This Row],[order_value]]</f>
        <v>3398.99</v>
      </c>
      <c r="F86" s="12" t="str">
        <f>tabela_zamowienia[[#This Row],[has_discount]]</f>
        <v>NIE</v>
      </c>
      <c r="G86" s="11" t="str">
        <f t="shared" si="3"/>
        <v>2024-05</v>
      </c>
      <c r="H86" s="12" t="str">
        <f>VLOOKUP(C86,tabela_klienci[[customer_id]:[country]],2,0)</f>
        <v>USA</v>
      </c>
      <c r="I86" s="12" t="str">
        <f t="shared" si="4"/>
        <v>Kraj zgodny</v>
      </c>
      <c r="J86" s="16" t="str">
        <f t="shared" si="5"/>
        <v>Zamówienie standardowe</v>
      </c>
    </row>
    <row r="87" spans="1:10" x14ac:dyDescent="0.2">
      <c r="A87" s="15">
        <f>tabela_zamowienia[[#This Row],[order_id]]</f>
        <v>101</v>
      </c>
      <c r="B87" s="11">
        <f>tabela_zamowienia[[#This Row],[order_date]]</f>
        <v>45414</v>
      </c>
      <c r="C87" s="10">
        <f>tabela_zamowienia[[#This Row],[customer_id]]</f>
        <v>13</v>
      </c>
      <c r="D87" s="12" t="str">
        <f>tabela_zamowienia[[#This Row],[ship_country]]</f>
        <v>UK</v>
      </c>
      <c r="E87" s="13">
        <f>tabela_zamowienia[[#This Row],[order_value]]</f>
        <v>1538.52</v>
      </c>
      <c r="F87" s="12" t="str">
        <f>tabela_zamowienia[[#This Row],[has_discount]]</f>
        <v>TAK</v>
      </c>
      <c r="G87" s="11" t="str">
        <f t="shared" si="3"/>
        <v>2024-05</v>
      </c>
      <c r="H87" s="12" t="str">
        <f>VLOOKUP(C87,tabela_klienci[[customer_id]:[country]],2,0)</f>
        <v>UK</v>
      </c>
      <c r="I87" s="12" t="str">
        <f t="shared" si="4"/>
        <v>Kraj zgodny</v>
      </c>
      <c r="J87" s="16" t="str">
        <f t="shared" si="5"/>
        <v>Zamówienie z rabatem lub niskiej wartości</v>
      </c>
    </row>
    <row r="88" spans="1:10" x14ac:dyDescent="0.2">
      <c r="A88" s="15">
        <f>tabela_zamowienia[[#This Row],[order_id]]</f>
        <v>102</v>
      </c>
      <c r="B88" s="11">
        <f>tabela_zamowienia[[#This Row],[order_date]]</f>
        <v>45415</v>
      </c>
      <c r="C88" s="10">
        <f>tabela_zamowienia[[#This Row],[customer_id]]</f>
        <v>14</v>
      </c>
      <c r="D88" s="12" t="str">
        <f>tabela_zamowienia[[#This Row],[ship_country]]</f>
        <v>UK</v>
      </c>
      <c r="E88" s="13">
        <f>tabela_zamowienia[[#This Row],[order_value]]</f>
        <v>229.79</v>
      </c>
      <c r="F88" s="12" t="str">
        <f>tabela_zamowienia[[#This Row],[has_discount]]</f>
        <v>NIE</v>
      </c>
      <c r="G88" s="11" t="str">
        <f t="shared" si="3"/>
        <v>2024-05</v>
      </c>
      <c r="H88" s="12" t="str">
        <f>VLOOKUP(C88,tabela_klienci[[customer_id]:[country]],2,0)</f>
        <v>UK</v>
      </c>
      <c r="I88" s="12" t="str">
        <f t="shared" si="4"/>
        <v>Kraj zgodny</v>
      </c>
      <c r="J88" s="16" t="str">
        <f t="shared" si="5"/>
        <v>Zamówienie standardowe</v>
      </c>
    </row>
    <row r="89" spans="1:10" x14ac:dyDescent="0.2">
      <c r="A89" s="15">
        <f>tabela_zamowienia[[#This Row],[order_id]]</f>
        <v>103</v>
      </c>
      <c r="B89" s="11">
        <f>tabela_zamowienia[[#This Row],[order_date]]</f>
        <v>45416</v>
      </c>
      <c r="C89" s="10">
        <f>tabela_zamowienia[[#This Row],[customer_id]]</f>
        <v>15</v>
      </c>
      <c r="D89" s="12" t="str">
        <f>tabela_zamowienia[[#This Row],[ship_country]]</f>
        <v>USA</v>
      </c>
      <c r="E89" s="13">
        <f>tabela_zamowienia[[#This Row],[order_value]]</f>
        <v>1558.47</v>
      </c>
      <c r="F89" s="12" t="str">
        <f>tabela_zamowienia[[#This Row],[has_discount]]</f>
        <v>NIE</v>
      </c>
      <c r="G89" s="11" t="str">
        <f t="shared" si="3"/>
        <v>2024-05</v>
      </c>
      <c r="H89" s="12" t="str">
        <f>VLOOKUP(C89,tabela_klienci[[customer_id]:[country]],2,0)</f>
        <v>USA</v>
      </c>
      <c r="I89" s="12" t="str">
        <f t="shared" si="4"/>
        <v>Kraj zgodny</v>
      </c>
      <c r="J89" s="16" t="str">
        <f t="shared" si="5"/>
        <v>Zamówienie standardowe</v>
      </c>
    </row>
    <row r="90" spans="1:10" x14ac:dyDescent="0.2">
      <c r="A90" s="15">
        <f>tabela_zamowienia[[#This Row],[order_id]]</f>
        <v>104</v>
      </c>
      <c r="B90" s="11">
        <f>tabela_zamowienia[[#This Row],[order_date]]</f>
        <v>45417</v>
      </c>
      <c r="C90" s="10">
        <f>tabela_zamowienia[[#This Row],[customer_id]]</f>
        <v>16</v>
      </c>
      <c r="D90" s="12" t="str">
        <f>tabela_zamowienia[[#This Row],[ship_country]]</f>
        <v>France</v>
      </c>
      <c r="E90" s="13">
        <f>tabela_zamowienia[[#This Row],[order_value]]</f>
        <v>7537.99</v>
      </c>
      <c r="F90" s="12" t="str">
        <f>tabela_zamowienia[[#This Row],[has_discount]]</f>
        <v>NIE</v>
      </c>
      <c r="G90" s="11" t="str">
        <f t="shared" si="3"/>
        <v>2024-05</v>
      </c>
      <c r="H90" s="12" t="str">
        <f>VLOOKUP(C90,tabela_klienci[[customer_id]:[country]],2,0)</f>
        <v>France</v>
      </c>
      <c r="I90" s="12" t="str">
        <f t="shared" si="4"/>
        <v>Kraj zgodny</v>
      </c>
      <c r="J90" s="16" t="str">
        <f t="shared" si="5"/>
        <v>Zamówienie standardowe</v>
      </c>
    </row>
    <row r="91" spans="1:10" x14ac:dyDescent="0.2">
      <c r="A91" s="15">
        <f>tabela_zamowienia[[#This Row],[order_id]]</f>
        <v>105</v>
      </c>
      <c r="B91" s="11">
        <f>tabela_zamowienia[[#This Row],[order_date]]</f>
        <v>45418</v>
      </c>
      <c r="C91" s="10">
        <f>tabela_zamowienia[[#This Row],[customer_id]]</f>
        <v>17</v>
      </c>
      <c r="D91" s="12" t="str">
        <f>tabela_zamowienia[[#This Row],[ship_country]]</f>
        <v>Canada</v>
      </c>
      <c r="E91" s="13">
        <f>tabela_zamowienia[[#This Row],[order_value]]</f>
        <v>214.39</v>
      </c>
      <c r="F91" s="12" t="str">
        <f>tabela_zamowienia[[#This Row],[has_discount]]</f>
        <v>NIE</v>
      </c>
      <c r="G91" s="11" t="str">
        <f t="shared" si="3"/>
        <v>2024-05</v>
      </c>
      <c r="H91" s="12" t="str">
        <f>VLOOKUP(C91,tabela_klienci[[customer_id]:[country]],2,0)</f>
        <v>Canada</v>
      </c>
      <c r="I91" s="12" t="str">
        <f t="shared" si="4"/>
        <v>Kraj zgodny</v>
      </c>
      <c r="J91" s="16" t="str">
        <f t="shared" si="5"/>
        <v>Zamówienie standardowe</v>
      </c>
    </row>
    <row r="92" spans="1:10" x14ac:dyDescent="0.2">
      <c r="A92" s="15">
        <f>tabela_zamowienia[[#This Row],[order_id]]</f>
        <v>106</v>
      </c>
      <c r="B92" s="11">
        <f>tabela_zamowienia[[#This Row],[order_date]]</f>
        <v>45419</v>
      </c>
      <c r="C92" s="10">
        <f>tabela_zamowienia[[#This Row],[customer_id]]</f>
        <v>18</v>
      </c>
      <c r="D92" s="12" t="str">
        <f>tabela_zamowienia[[#This Row],[ship_country]]</f>
        <v>Spain</v>
      </c>
      <c r="E92" s="13">
        <f>tabela_zamowienia[[#This Row],[order_value]]</f>
        <v>435.29</v>
      </c>
      <c r="F92" s="12" t="str">
        <f>tabela_zamowienia[[#This Row],[has_discount]]</f>
        <v>TAK</v>
      </c>
      <c r="G92" s="11" t="str">
        <f t="shared" si="3"/>
        <v>2024-05</v>
      </c>
      <c r="H92" s="12" t="str">
        <f>VLOOKUP(C92,tabela_klienci[[customer_id]:[country]],2,0)</f>
        <v>Spain</v>
      </c>
      <c r="I92" s="12" t="str">
        <f t="shared" si="4"/>
        <v>Kraj zgodny</v>
      </c>
      <c r="J92" s="16" t="str">
        <f t="shared" si="5"/>
        <v>Zamówienie z rabatem lub niskiej wartości</v>
      </c>
    </row>
    <row r="93" spans="1:10" x14ac:dyDescent="0.2">
      <c r="A93" s="15">
        <f>tabela_zamowienia[[#This Row],[order_id]]</f>
        <v>107</v>
      </c>
      <c r="B93" s="11">
        <f>tabela_zamowienia[[#This Row],[order_date]]</f>
        <v>45420</v>
      </c>
      <c r="C93" s="10">
        <f>tabela_zamowienia[[#This Row],[customer_id]]</f>
        <v>19</v>
      </c>
      <c r="D93" s="12" t="str">
        <f>tabela_zamowienia[[#This Row],[ship_country]]</f>
        <v>South Korea</v>
      </c>
      <c r="E93" s="13">
        <f>tabela_zamowienia[[#This Row],[order_value]]</f>
        <v>84.89</v>
      </c>
      <c r="F93" s="12" t="str">
        <f>tabela_zamowienia[[#This Row],[has_discount]]</f>
        <v>NIE</v>
      </c>
      <c r="G93" s="11" t="str">
        <f t="shared" si="3"/>
        <v>2024-05</v>
      </c>
      <c r="H93" s="12" t="str">
        <f>VLOOKUP(C93,tabela_klienci[[customer_id]:[country]],2,0)</f>
        <v>South Korea</v>
      </c>
      <c r="I93" s="12" t="str">
        <f t="shared" si="4"/>
        <v>Kraj zgodny</v>
      </c>
      <c r="J93" s="16" t="str">
        <f t="shared" si="5"/>
        <v>Zamówienie z rabatem lub niskiej wartości</v>
      </c>
    </row>
    <row r="94" spans="1:10" x14ac:dyDescent="0.2">
      <c r="A94" s="15">
        <f>tabela_zamowienia[[#This Row],[order_id]]</f>
        <v>108</v>
      </c>
      <c r="B94" s="11">
        <f>tabela_zamowienia[[#This Row],[order_date]]</f>
        <v>45421</v>
      </c>
      <c r="C94" s="10">
        <f>tabela_zamowienia[[#This Row],[customer_id]]</f>
        <v>20</v>
      </c>
      <c r="D94" s="12" t="str">
        <f>tabela_zamowienia[[#This Row],[ship_country]]</f>
        <v>UK</v>
      </c>
      <c r="E94" s="13">
        <f>tabela_zamowienia[[#This Row],[order_value]]</f>
        <v>447.9</v>
      </c>
      <c r="F94" s="12" t="str">
        <f>tabela_zamowienia[[#This Row],[has_discount]]</f>
        <v>NIE</v>
      </c>
      <c r="G94" s="11" t="str">
        <f t="shared" si="3"/>
        <v>2024-05</v>
      </c>
      <c r="H94" s="12" t="str">
        <f>VLOOKUP(C94,tabela_klienci[[customer_id]:[country]],2,0)</f>
        <v>UK</v>
      </c>
      <c r="I94" s="12" t="str">
        <f t="shared" si="4"/>
        <v>Kraj zgodny</v>
      </c>
      <c r="J94" s="16" t="str">
        <f t="shared" si="5"/>
        <v>Zamówienie standardowe</v>
      </c>
    </row>
    <row r="95" spans="1:10" x14ac:dyDescent="0.2">
      <c r="A95" s="15">
        <f>tabela_zamowienia[[#This Row],[order_id]]</f>
        <v>109</v>
      </c>
      <c r="B95" s="11">
        <f>tabela_zamowienia[[#This Row],[order_date]]</f>
        <v>45422</v>
      </c>
      <c r="C95" s="10">
        <f>tabela_zamowienia[[#This Row],[customer_id]]</f>
        <v>21</v>
      </c>
      <c r="D95" s="12" t="str">
        <f>tabela_zamowienia[[#This Row],[ship_country]]</f>
        <v>USA</v>
      </c>
      <c r="E95" s="13">
        <f>tabela_zamowienia[[#This Row],[order_value]]</f>
        <v>188.8</v>
      </c>
      <c r="F95" s="12" t="str">
        <f>tabela_zamowienia[[#This Row],[has_discount]]</f>
        <v>NIE</v>
      </c>
      <c r="G95" s="11" t="str">
        <f t="shared" si="3"/>
        <v>2024-05</v>
      </c>
      <c r="H95" s="12" t="str">
        <f>VLOOKUP(C95,tabela_klienci[[customer_id]:[country]],2,0)</f>
        <v>USA</v>
      </c>
      <c r="I95" s="12" t="str">
        <f t="shared" si="4"/>
        <v>Kraj zgodny</v>
      </c>
      <c r="J95" s="16" t="str">
        <f t="shared" si="5"/>
        <v>Zamówienie standardowe</v>
      </c>
    </row>
    <row r="96" spans="1:10" x14ac:dyDescent="0.2">
      <c r="A96" s="15">
        <f>tabela_zamowienia[[#This Row],[order_id]]</f>
        <v>110</v>
      </c>
      <c r="B96" s="11">
        <f>tabela_zamowienia[[#This Row],[order_date]]</f>
        <v>45423</v>
      </c>
      <c r="C96" s="10">
        <f>tabela_zamowienia[[#This Row],[customer_id]]</f>
        <v>22</v>
      </c>
      <c r="D96" s="12" t="str">
        <f>tabela_zamowienia[[#This Row],[ship_country]]</f>
        <v>Poland</v>
      </c>
      <c r="E96" s="13">
        <f>tabela_zamowienia[[#This Row],[order_value]]</f>
        <v>507.99</v>
      </c>
      <c r="F96" s="12" t="str">
        <f>tabela_zamowienia[[#This Row],[has_discount]]</f>
        <v>NIE</v>
      </c>
      <c r="G96" s="11" t="str">
        <f t="shared" si="3"/>
        <v>2024-05</v>
      </c>
      <c r="H96" s="12" t="str">
        <f>VLOOKUP(C96,tabela_klienci[[customer_id]:[country]],2,0)</f>
        <v>Poland</v>
      </c>
      <c r="I96" s="12" t="str">
        <f t="shared" si="4"/>
        <v>Kraj zgodny</v>
      </c>
      <c r="J96" s="16" t="str">
        <f t="shared" si="5"/>
        <v>Zamówienie standardowe</v>
      </c>
    </row>
    <row r="97" spans="1:10" x14ac:dyDescent="0.2">
      <c r="A97" s="15">
        <f>tabela_zamowienia[[#This Row],[order_id]]</f>
        <v>111</v>
      </c>
      <c r="B97" s="11">
        <f>tabela_zamowienia[[#This Row],[order_date]]</f>
        <v>45424</v>
      </c>
      <c r="C97" s="10">
        <f>tabela_zamowienia[[#This Row],[customer_id]]</f>
        <v>23</v>
      </c>
      <c r="D97" s="12" t="str">
        <f>tabela_zamowienia[[#This Row],[ship_country]]</f>
        <v>Spain</v>
      </c>
      <c r="E97" s="13">
        <f>tabela_zamowienia[[#This Row],[order_value]]</f>
        <v>349.5</v>
      </c>
      <c r="F97" s="12" t="str">
        <f>tabela_zamowienia[[#This Row],[has_discount]]</f>
        <v>NIE</v>
      </c>
      <c r="G97" s="11" t="str">
        <f t="shared" si="3"/>
        <v>2024-05</v>
      </c>
      <c r="H97" s="12" t="str">
        <f>VLOOKUP(C97,tabela_klienci[[customer_id]:[country]],2,0)</f>
        <v>Spain</v>
      </c>
      <c r="I97" s="12" t="str">
        <f t="shared" si="4"/>
        <v>Kraj zgodny</v>
      </c>
      <c r="J97" s="16" t="str">
        <f t="shared" si="5"/>
        <v>Zamówienie standardowe</v>
      </c>
    </row>
    <row r="98" spans="1:10" x14ac:dyDescent="0.2">
      <c r="A98" s="15">
        <f>tabela_zamowienia[[#This Row],[order_id]]</f>
        <v>112</v>
      </c>
      <c r="B98" s="11">
        <f>tabela_zamowienia[[#This Row],[order_date]]</f>
        <v>45425</v>
      </c>
      <c r="C98" s="10">
        <f>tabela_zamowienia[[#This Row],[customer_id]]</f>
        <v>24</v>
      </c>
      <c r="D98" s="12" t="str">
        <f>tabela_zamowienia[[#This Row],[ship_country]]</f>
        <v>Poland</v>
      </c>
      <c r="E98" s="13">
        <f>tabela_zamowienia[[#This Row],[order_value]]</f>
        <v>109.39</v>
      </c>
      <c r="F98" s="12" t="str">
        <f>tabela_zamowienia[[#This Row],[has_discount]]</f>
        <v>NIE</v>
      </c>
      <c r="G98" s="11" t="str">
        <f t="shared" si="3"/>
        <v>2024-05</v>
      </c>
      <c r="H98" s="12" t="str">
        <f>VLOOKUP(C98,tabela_klienci[[customer_id]:[country]],2,0)</f>
        <v>Poland</v>
      </c>
      <c r="I98" s="12" t="str">
        <f t="shared" si="4"/>
        <v>Kraj zgodny</v>
      </c>
      <c r="J98" s="16" t="str">
        <f t="shared" si="5"/>
        <v>Zamówienie standardowe</v>
      </c>
    </row>
    <row r="99" spans="1:10" x14ac:dyDescent="0.2">
      <c r="A99" s="15">
        <f>tabela_zamowienia[[#This Row],[order_id]]</f>
        <v>113</v>
      </c>
      <c r="B99" s="11">
        <f>tabela_zamowienia[[#This Row],[order_date]]</f>
        <v>45426</v>
      </c>
      <c r="C99" s="10">
        <f>tabela_zamowienia[[#This Row],[customer_id]]</f>
        <v>25</v>
      </c>
      <c r="D99" s="12" t="str">
        <f>tabela_zamowienia[[#This Row],[ship_country]]</f>
        <v>Poland</v>
      </c>
      <c r="E99" s="13">
        <f>tabela_zamowienia[[#This Row],[order_value]]</f>
        <v>3698.38</v>
      </c>
      <c r="F99" s="12" t="str">
        <f>tabela_zamowienia[[#This Row],[has_discount]]</f>
        <v>NIE</v>
      </c>
      <c r="G99" s="11" t="str">
        <f t="shared" si="3"/>
        <v>2024-05</v>
      </c>
      <c r="H99" s="12" t="str">
        <f>VLOOKUP(C99,tabela_klienci[[customer_id]:[country]],2,0)</f>
        <v>Poland</v>
      </c>
      <c r="I99" s="12" t="str">
        <f t="shared" si="4"/>
        <v>Kraj zgodny</v>
      </c>
      <c r="J99" s="16" t="str">
        <f t="shared" si="5"/>
        <v>Zamówienie standardowe</v>
      </c>
    </row>
    <row r="100" spans="1:10" x14ac:dyDescent="0.2">
      <c r="A100" s="15">
        <f>tabela_zamowienia[[#This Row],[order_id]]</f>
        <v>114</v>
      </c>
      <c r="B100" s="11">
        <f>tabela_zamowienia[[#This Row],[order_date]]</f>
        <v>45427</v>
      </c>
      <c r="C100" s="10">
        <f>tabela_zamowienia[[#This Row],[customer_id]]</f>
        <v>26</v>
      </c>
      <c r="D100" s="12" t="str">
        <f>tabela_zamowienia[[#This Row],[ship_country]]</f>
        <v>Germany</v>
      </c>
      <c r="E100" s="13">
        <f>tabela_zamowienia[[#This Row],[order_value]]</f>
        <v>458.9</v>
      </c>
      <c r="F100" s="12" t="str">
        <f>tabela_zamowienia[[#This Row],[has_discount]]</f>
        <v>NIE</v>
      </c>
      <c r="G100" s="11" t="str">
        <f t="shared" si="3"/>
        <v>2024-05</v>
      </c>
      <c r="H100" s="12" t="str">
        <f>VLOOKUP(C100,tabela_klienci[[customer_id]:[country]],2,0)</f>
        <v>Germany</v>
      </c>
      <c r="I100" s="12" t="str">
        <f t="shared" si="4"/>
        <v>Kraj zgodny</v>
      </c>
      <c r="J100" s="16" t="str">
        <f t="shared" si="5"/>
        <v>Zamówienie standardowe</v>
      </c>
    </row>
    <row r="101" spans="1:10" x14ac:dyDescent="0.2">
      <c r="A101" s="15">
        <f>tabela_zamowienia[[#This Row],[order_id]]</f>
        <v>115</v>
      </c>
      <c r="B101" s="11">
        <f>tabela_zamowienia[[#This Row],[order_date]]</f>
        <v>45428</v>
      </c>
      <c r="C101" s="10">
        <f>tabela_zamowienia[[#This Row],[customer_id]]</f>
        <v>27</v>
      </c>
      <c r="D101" s="12" t="str">
        <f>tabela_zamowienia[[#This Row],[ship_country]]</f>
        <v>USA</v>
      </c>
      <c r="E101" s="13">
        <f>tabela_zamowienia[[#This Row],[order_value]]</f>
        <v>1297.5</v>
      </c>
      <c r="F101" s="12" t="str">
        <f>tabela_zamowienia[[#This Row],[has_discount]]</f>
        <v>NIE</v>
      </c>
      <c r="G101" s="11" t="str">
        <f t="shared" si="3"/>
        <v>2024-05</v>
      </c>
      <c r="H101" s="12" t="str">
        <f>VLOOKUP(C101,tabela_klienci[[customer_id]:[country]],2,0)</f>
        <v>USA</v>
      </c>
      <c r="I101" s="12" t="str">
        <f t="shared" si="4"/>
        <v>Kraj zgodny</v>
      </c>
      <c r="J101" s="16" t="str">
        <f t="shared" si="5"/>
        <v>Zamówienie standardowe</v>
      </c>
    </row>
    <row r="102" spans="1:10" x14ac:dyDescent="0.2">
      <c r="A102" s="15">
        <f>tabela_zamowienia[[#This Row],[order_id]]</f>
        <v>116</v>
      </c>
      <c r="B102" s="11">
        <f>tabela_zamowienia[[#This Row],[order_date]]</f>
        <v>45429</v>
      </c>
      <c r="C102" s="10">
        <f>tabela_zamowienia[[#This Row],[customer_id]]</f>
        <v>28</v>
      </c>
      <c r="D102" s="12" t="str">
        <f>tabela_zamowienia[[#This Row],[ship_country]]</f>
        <v>USA</v>
      </c>
      <c r="E102" s="13">
        <f>tabela_zamowienia[[#This Row],[order_value]]</f>
        <v>1438.48</v>
      </c>
      <c r="F102" s="12" t="str">
        <f>tabela_zamowienia[[#This Row],[has_discount]]</f>
        <v>NIE</v>
      </c>
      <c r="G102" s="11" t="str">
        <f t="shared" si="3"/>
        <v>2024-05</v>
      </c>
      <c r="H102" s="12" t="str">
        <f>VLOOKUP(C102,tabela_klienci[[customer_id]:[country]],2,0)</f>
        <v>USA</v>
      </c>
      <c r="I102" s="12" t="str">
        <f t="shared" si="4"/>
        <v>Kraj zgodny</v>
      </c>
      <c r="J102" s="16" t="str">
        <f t="shared" si="5"/>
        <v>Zamówienie standardowe</v>
      </c>
    </row>
    <row r="103" spans="1:10" x14ac:dyDescent="0.2">
      <c r="A103" s="15">
        <f>tabela_zamowienia[[#This Row],[order_id]]</f>
        <v>117</v>
      </c>
      <c r="B103" s="11">
        <f>tabela_zamowienia[[#This Row],[order_date]]</f>
        <v>45430</v>
      </c>
      <c r="C103" s="10">
        <f>tabela_zamowienia[[#This Row],[customer_id]]</f>
        <v>29</v>
      </c>
      <c r="D103" s="12" t="str">
        <f>tabela_zamowienia[[#This Row],[ship_country]]</f>
        <v>USA</v>
      </c>
      <c r="E103" s="13">
        <f>tabela_zamowienia[[#This Row],[order_value]]</f>
        <v>1046</v>
      </c>
      <c r="F103" s="12" t="str">
        <f>tabela_zamowienia[[#This Row],[has_discount]]</f>
        <v>NIE</v>
      </c>
      <c r="G103" s="11" t="str">
        <f t="shared" si="3"/>
        <v>2024-05</v>
      </c>
      <c r="H103" s="12" t="str">
        <f>VLOOKUP(C103,tabela_klienci[[customer_id]:[country]],2,0)</f>
        <v>USA</v>
      </c>
      <c r="I103" s="12" t="str">
        <f t="shared" si="4"/>
        <v>Kraj zgodny</v>
      </c>
      <c r="J103" s="16" t="str">
        <f t="shared" si="5"/>
        <v>Zamówienie standardowe</v>
      </c>
    </row>
    <row r="104" spans="1:10" x14ac:dyDescent="0.2">
      <c r="A104" s="15">
        <f>tabela_zamowienia[[#This Row],[order_id]]</f>
        <v>118</v>
      </c>
      <c r="B104" s="11">
        <f>tabela_zamowienia[[#This Row],[order_date]]</f>
        <v>45431</v>
      </c>
      <c r="C104" s="10">
        <f>tabela_zamowienia[[#This Row],[customer_id]]</f>
        <v>30</v>
      </c>
      <c r="D104" s="12" t="str">
        <f>tabela_zamowienia[[#This Row],[ship_country]]</f>
        <v>Italy</v>
      </c>
      <c r="E104" s="13">
        <f>tabela_zamowienia[[#This Row],[order_value]]</f>
        <v>164.98</v>
      </c>
      <c r="F104" s="12" t="str">
        <f>tabela_zamowienia[[#This Row],[has_discount]]</f>
        <v>NIE</v>
      </c>
      <c r="G104" s="11" t="str">
        <f t="shared" si="3"/>
        <v>2024-05</v>
      </c>
      <c r="H104" s="12" t="str">
        <f>VLOOKUP(C104,tabela_klienci[[customer_id]:[country]],2,0)</f>
        <v>USA</v>
      </c>
      <c r="I104" s="12" t="str">
        <f t="shared" si="4"/>
        <v>Wysyłka za granicę</v>
      </c>
      <c r="J104" s="16" t="str">
        <f t="shared" si="5"/>
        <v>Zamówienie standardowe</v>
      </c>
    </row>
    <row r="105" spans="1:10" x14ac:dyDescent="0.2">
      <c r="A105" s="15">
        <f>tabela_zamowienia[[#This Row],[order_id]]</f>
        <v>119</v>
      </c>
      <c r="B105" s="11">
        <f>tabela_zamowienia[[#This Row],[order_date]]</f>
        <v>45432</v>
      </c>
      <c r="C105" s="10">
        <f>tabela_zamowienia[[#This Row],[customer_id]]</f>
        <v>31</v>
      </c>
      <c r="D105" s="12" t="str">
        <f>tabela_zamowienia[[#This Row],[ship_country]]</f>
        <v>Poland</v>
      </c>
      <c r="E105" s="13">
        <f>tabela_zamowienia[[#This Row],[order_value]]</f>
        <v>5088</v>
      </c>
      <c r="F105" s="12" t="str">
        <f>tabela_zamowienia[[#This Row],[has_discount]]</f>
        <v>NIE</v>
      </c>
      <c r="G105" s="11" t="str">
        <f t="shared" si="3"/>
        <v>2024-05</v>
      </c>
      <c r="H105" s="12" t="str">
        <f>VLOOKUP(C105,tabela_klienci[[customer_id]:[country]],2,0)</f>
        <v>Italy</v>
      </c>
      <c r="I105" s="12" t="str">
        <f t="shared" si="4"/>
        <v>Wysyłka za granicę</v>
      </c>
      <c r="J105" s="16" t="str">
        <f t="shared" si="5"/>
        <v>Zamówienie standardowe</v>
      </c>
    </row>
    <row r="106" spans="1:10" x14ac:dyDescent="0.2">
      <c r="A106" s="15">
        <f>tabela_zamowienia[[#This Row],[order_id]]</f>
        <v>120</v>
      </c>
      <c r="B106" s="11">
        <f>tabela_zamowienia[[#This Row],[order_date]]</f>
        <v>45433</v>
      </c>
      <c r="C106" s="10">
        <f>tabela_zamowienia[[#This Row],[customer_id]]</f>
        <v>32</v>
      </c>
      <c r="D106" s="12" t="str">
        <f>tabela_zamowienia[[#This Row],[ship_country]]</f>
        <v>Poland</v>
      </c>
      <c r="E106" s="13">
        <f>tabela_zamowienia[[#This Row],[order_value]]</f>
        <v>437.81</v>
      </c>
      <c r="F106" s="12" t="str">
        <f>tabela_zamowienia[[#This Row],[has_discount]]</f>
        <v>TAK</v>
      </c>
      <c r="G106" s="11" t="str">
        <f t="shared" si="3"/>
        <v>2024-05</v>
      </c>
      <c r="H106" s="12" t="str">
        <f>VLOOKUP(C106,tabela_klienci[[customer_id]:[country]],2,0)</f>
        <v>USA</v>
      </c>
      <c r="I106" s="12" t="str">
        <f t="shared" si="4"/>
        <v>Wysyłka za granicę</v>
      </c>
      <c r="J106" s="16" t="str">
        <f t="shared" si="5"/>
        <v>Zamówienie z rabatem lub niskiej wartości</v>
      </c>
    </row>
    <row r="107" spans="1:10" x14ac:dyDescent="0.2">
      <c r="A107" s="15">
        <f>tabela_zamowienia[[#This Row],[order_id]]</f>
        <v>121</v>
      </c>
      <c r="B107" s="11">
        <f>tabela_zamowienia[[#This Row],[order_date]]</f>
        <v>45434</v>
      </c>
      <c r="C107" s="10">
        <f>tabela_zamowienia[[#This Row],[customer_id]]</f>
        <v>33</v>
      </c>
      <c r="D107" s="12" t="str">
        <f>tabela_zamowienia[[#This Row],[ship_country]]</f>
        <v>Sweden</v>
      </c>
      <c r="E107" s="13">
        <f>tabela_zamowienia[[#This Row],[order_value]]</f>
        <v>538.48</v>
      </c>
      <c r="F107" s="12" t="str">
        <f>tabela_zamowienia[[#This Row],[has_discount]]</f>
        <v>NIE</v>
      </c>
      <c r="G107" s="11" t="str">
        <f t="shared" si="3"/>
        <v>2024-05</v>
      </c>
      <c r="H107" s="12" t="str">
        <f>VLOOKUP(C107,tabela_klienci[[customer_id]:[country]],2,0)</f>
        <v>Poland</v>
      </c>
      <c r="I107" s="12" t="str">
        <f t="shared" si="4"/>
        <v>Wysyłka za granicę</v>
      </c>
      <c r="J107" s="16" t="str">
        <f t="shared" si="5"/>
        <v>Zamówienie standardowe</v>
      </c>
    </row>
    <row r="108" spans="1:10" x14ac:dyDescent="0.2">
      <c r="A108" s="15">
        <f>tabela_zamowienia[[#This Row],[order_id]]</f>
        <v>122</v>
      </c>
      <c r="B108" s="11">
        <f>tabela_zamowienia[[#This Row],[order_date]]</f>
        <v>45435</v>
      </c>
      <c r="C108" s="10">
        <f>tabela_zamowienia[[#This Row],[customer_id]]</f>
        <v>34</v>
      </c>
      <c r="D108" s="12" t="str">
        <f>tabela_zamowienia[[#This Row],[ship_country]]</f>
        <v>Sweden</v>
      </c>
      <c r="E108" s="13">
        <f>tabela_zamowienia[[#This Row],[order_value]]</f>
        <v>209.8</v>
      </c>
      <c r="F108" s="12" t="str">
        <f>tabela_zamowienia[[#This Row],[has_discount]]</f>
        <v>NIE</v>
      </c>
      <c r="G108" s="11" t="str">
        <f t="shared" si="3"/>
        <v>2024-05</v>
      </c>
      <c r="H108" s="12" t="str">
        <f>VLOOKUP(C108,tabela_klienci[[customer_id]:[country]],2,0)</f>
        <v>Poland</v>
      </c>
      <c r="I108" s="12" t="str">
        <f t="shared" si="4"/>
        <v>Wysyłka za granicę</v>
      </c>
      <c r="J108" s="16" t="str">
        <f t="shared" si="5"/>
        <v>Zamówienie standardowe</v>
      </c>
    </row>
    <row r="109" spans="1:10" x14ac:dyDescent="0.2">
      <c r="A109" s="15">
        <f>tabela_zamowienia[[#This Row],[order_id]]</f>
        <v>123</v>
      </c>
      <c r="B109" s="11">
        <f>tabela_zamowienia[[#This Row],[order_date]]</f>
        <v>45436</v>
      </c>
      <c r="C109" s="10">
        <f>tabela_zamowienia[[#This Row],[customer_id]]</f>
        <v>35</v>
      </c>
      <c r="D109" s="12" t="str">
        <f>tabela_zamowienia[[#This Row],[ship_country]]</f>
        <v>Poland</v>
      </c>
      <c r="E109" s="13">
        <f>tabela_zamowienia[[#This Row],[order_value]]</f>
        <v>3687.99</v>
      </c>
      <c r="F109" s="12" t="str">
        <f>tabela_zamowienia[[#This Row],[has_discount]]</f>
        <v>NIE</v>
      </c>
      <c r="G109" s="11" t="str">
        <f t="shared" si="3"/>
        <v>2024-05</v>
      </c>
      <c r="H109" s="12" t="str">
        <f>VLOOKUP(C109,tabela_klienci[[customer_id]:[country]],2,0)</f>
        <v>Ukraine</v>
      </c>
      <c r="I109" s="12" t="str">
        <f t="shared" si="4"/>
        <v>Wysyłka za granicę</v>
      </c>
      <c r="J109" s="16" t="str">
        <f t="shared" si="5"/>
        <v>Zamówienie standardowe</v>
      </c>
    </row>
    <row r="110" spans="1:10" x14ac:dyDescent="0.2">
      <c r="A110" s="15">
        <f>tabela_zamowienia[[#This Row],[order_id]]</f>
        <v>124</v>
      </c>
      <c r="B110" s="11">
        <f>tabela_zamowienia[[#This Row],[order_date]]</f>
        <v>45437</v>
      </c>
      <c r="C110" s="10">
        <f>tabela_zamowienia[[#This Row],[customer_id]]</f>
        <v>36</v>
      </c>
      <c r="D110" s="12" t="str">
        <f>tabela_zamowienia[[#This Row],[ship_country]]</f>
        <v>Poland</v>
      </c>
      <c r="E110" s="13">
        <f>tabela_zamowienia[[#This Row],[order_value]]</f>
        <v>1338.98</v>
      </c>
      <c r="F110" s="12" t="str">
        <f>tabela_zamowienia[[#This Row],[has_discount]]</f>
        <v>NIE</v>
      </c>
      <c r="G110" s="11" t="str">
        <f t="shared" si="3"/>
        <v>2024-05</v>
      </c>
      <c r="H110" s="12" t="str">
        <f>VLOOKUP(C110,tabela_klienci[[customer_id]:[country]],2,0)</f>
        <v>Russia</v>
      </c>
      <c r="I110" s="12" t="str">
        <f t="shared" si="4"/>
        <v>Wysyłka za granicę</v>
      </c>
      <c r="J110" s="16" t="str">
        <f t="shared" si="5"/>
        <v>Zamówienie standardowe</v>
      </c>
    </row>
    <row r="111" spans="1:10" x14ac:dyDescent="0.2">
      <c r="A111" s="15">
        <f>tabela_zamowienia[[#This Row],[order_id]]</f>
        <v>125</v>
      </c>
      <c r="B111" s="11">
        <f>tabela_zamowienia[[#This Row],[order_date]]</f>
        <v>45438</v>
      </c>
      <c r="C111" s="10">
        <f>tabela_zamowienia[[#This Row],[customer_id]]</f>
        <v>37</v>
      </c>
      <c r="D111" s="12" t="str">
        <f>tabela_zamowienia[[#This Row],[ship_country]]</f>
        <v>UK</v>
      </c>
      <c r="E111" s="13">
        <f>tabela_zamowienia[[#This Row],[order_value]]</f>
        <v>708.39</v>
      </c>
      <c r="F111" s="12" t="str">
        <f>tabela_zamowienia[[#This Row],[has_discount]]</f>
        <v>NIE</v>
      </c>
      <c r="G111" s="11" t="str">
        <f t="shared" si="3"/>
        <v>2024-05</v>
      </c>
      <c r="H111" s="12" t="str">
        <f>VLOOKUP(C111,tabela_klienci[[customer_id]:[country]],2,0)</f>
        <v>Japan</v>
      </c>
      <c r="I111" s="12" t="str">
        <f t="shared" si="4"/>
        <v>Wysyłka za granicę</v>
      </c>
      <c r="J111" s="16" t="str">
        <f t="shared" si="5"/>
        <v>Zamówienie standardowe</v>
      </c>
    </row>
    <row r="112" spans="1:10" x14ac:dyDescent="0.2">
      <c r="A112" s="15">
        <f>tabela_zamowienia[[#This Row],[order_id]]</f>
        <v>126</v>
      </c>
      <c r="B112" s="11">
        <f>tabela_zamowienia[[#This Row],[order_date]]</f>
        <v>45439</v>
      </c>
      <c r="C112" s="10">
        <f>tabela_zamowienia[[#This Row],[customer_id]]</f>
        <v>38</v>
      </c>
      <c r="D112" s="12" t="str">
        <f>tabela_zamowienia[[#This Row],[ship_country]]</f>
        <v>China</v>
      </c>
      <c r="E112" s="13">
        <f>tabela_zamowienia[[#This Row],[order_value]]</f>
        <v>459.98</v>
      </c>
      <c r="F112" s="12" t="str">
        <f>tabela_zamowienia[[#This Row],[has_discount]]</f>
        <v>NIE</v>
      </c>
      <c r="G112" s="11" t="str">
        <f t="shared" si="3"/>
        <v>2024-05</v>
      </c>
      <c r="H112" s="12" t="str">
        <f>VLOOKUP(C112,tabela_klienci[[customer_id]:[country]],2,0)</f>
        <v>UAE</v>
      </c>
      <c r="I112" s="12" t="str">
        <f t="shared" si="4"/>
        <v>Wysyłka za granicę</v>
      </c>
      <c r="J112" s="16" t="str">
        <f t="shared" si="5"/>
        <v>Zamówienie standardowe</v>
      </c>
    </row>
    <row r="113" spans="1:10" x14ac:dyDescent="0.2">
      <c r="A113" s="15">
        <f>tabela_zamowienia[[#This Row],[order_id]]</f>
        <v>127</v>
      </c>
      <c r="B113" s="11">
        <f>tabela_zamowienia[[#This Row],[order_date]]</f>
        <v>45440</v>
      </c>
      <c r="C113" s="10">
        <f>tabela_zamowienia[[#This Row],[customer_id]]</f>
        <v>39</v>
      </c>
      <c r="D113" s="12" t="str">
        <f>tabela_zamowienia[[#This Row],[ship_country]]</f>
        <v>India</v>
      </c>
      <c r="E113" s="13">
        <f>tabela_zamowienia[[#This Row],[order_value]]</f>
        <v>1615.99</v>
      </c>
      <c r="F113" s="12" t="str">
        <f>tabela_zamowienia[[#This Row],[has_discount]]</f>
        <v>NIE</v>
      </c>
      <c r="G113" s="11" t="str">
        <f t="shared" si="3"/>
        <v>2024-05</v>
      </c>
      <c r="H113" s="12" t="str">
        <f>VLOOKUP(C113,tabela_klienci[[customer_id]:[country]],2,0)</f>
        <v>China</v>
      </c>
      <c r="I113" s="12" t="str">
        <f t="shared" si="4"/>
        <v>Wysyłka za granicę</v>
      </c>
      <c r="J113" s="16" t="str">
        <f t="shared" si="5"/>
        <v>Zamówienie standardowe</v>
      </c>
    </row>
    <row r="114" spans="1:10" x14ac:dyDescent="0.2">
      <c r="A114" s="15">
        <f>tabela_zamowienia[[#This Row],[order_id]]</f>
        <v>128</v>
      </c>
      <c r="B114" s="11">
        <f>tabela_zamowienia[[#This Row],[order_date]]</f>
        <v>45441</v>
      </c>
      <c r="C114" s="10">
        <f>tabela_zamowienia[[#This Row],[customer_id]]</f>
        <v>40</v>
      </c>
      <c r="D114" s="12" t="str">
        <f>tabela_zamowienia[[#This Row],[ship_country]]</f>
        <v>Poland</v>
      </c>
      <c r="E114" s="13">
        <f>tabela_zamowienia[[#This Row],[order_value]]</f>
        <v>5048.8999999999996</v>
      </c>
      <c r="F114" s="12" t="str">
        <f>tabela_zamowienia[[#This Row],[has_discount]]</f>
        <v>NIE</v>
      </c>
      <c r="G114" s="11" t="str">
        <f t="shared" si="3"/>
        <v>2024-05</v>
      </c>
      <c r="H114" s="12" t="str">
        <f>VLOOKUP(C114,tabela_klienci[[customer_id]:[country]],2,0)</f>
        <v>India</v>
      </c>
      <c r="I114" s="12" t="str">
        <f t="shared" si="4"/>
        <v>Wysyłka za granicę</v>
      </c>
      <c r="J114" s="16" t="str">
        <f t="shared" si="5"/>
        <v>Zamówienie standardowe</v>
      </c>
    </row>
    <row r="115" spans="1:10" x14ac:dyDescent="0.2">
      <c r="A115" s="15">
        <f>tabela_zamowienia[[#This Row],[order_id]]</f>
        <v>129</v>
      </c>
      <c r="B115" s="11">
        <f>tabela_zamowienia[[#This Row],[order_date]]</f>
        <v>45444</v>
      </c>
      <c r="C115" s="10">
        <f>tabela_zamowienia[[#This Row],[customer_id]]</f>
        <v>1</v>
      </c>
      <c r="D115" s="12" t="str">
        <f>tabela_zamowienia[[#This Row],[ship_country]]</f>
        <v>Poland</v>
      </c>
      <c r="E115" s="13">
        <f>tabela_zamowienia[[#This Row],[order_value]]</f>
        <v>99.5</v>
      </c>
      <c r="F115" s="12" t="str">
        <f>tabela_zamowienia[[#This Row],[has_discount]]</f>
        <v>NIE</v>
      </c>
      <c r="G115" s="11" t="str">
        <f t="shared" si="3"/>
        <v>2024-06</v>
      </c>
      <c r="H115" s="12" t="str">
        <f>VLOOKUP(C115,tabela_klienci[[customer_id]:[country]],2,0)</f>
        <v>Poland</v>
      </c>
      <c r="I115" s="12" t="str">
        <f t="shared" si="4"/>
        <v>Kraj zgodny</v>
      </c>
      <c r="J115" s="16" t="str">
        <f t="shared" si="5"/>
        <v>Zamówienie z rabatem lub niskiej wartości</v>
      </c>
    </row>
    <row r="116" spans="1:10" x14ac:dyDescent="0.2">
      <c r="A116" s="15">
        <f>tabela_zamowienia[[#This Row],[order_id]]</f>
        <v>130</v>
      </c>
      <c r="B116" s="11">
        <f>tabela_zamowienia[[#This Row],[order_date]]</f>
        <v>45446</v>
      </c>
      <c r="C116" s="10">
        <f>tabela_zamowienia[[#This Row],[customer_id]]</f>
        <v>2</v>
      </c>
      <c r="D116" s="12" t="str">
        <f>tabela_zamowienia[[#This Row],[ship_country]]</f>
        <v>Poland</v>
      </c>
      <c r="E116" s="13">
        <f>tabela_zamowienia[[#This Row],[order_value]]</f>
        <v>289</v>
      </c>
      <c r="F116" s="12" t="str">
        <f>tabela_zamowienia[[#This Row],[has_discount]]</f>
        <v>NIE</v>
      </c>
      <c r="G116" s="11" t="str">
        <f t="shared" si="3"/>
        <v>2024-06</v>
      </c>
      <c r="H116" s="12" t="str">
        <f>VLOOKUP(C116,tabela_klienci[[customer_id]:[country]],2,0)</f>
        <v>Poland</v>
      </c>
      <c r="I116" s="12" t="str">
        <f t="shared" si="4"/>
        <v>Kraj zgodny</v>
      </c>
      <c r="J116" s="16" t="str">
        <f t="shared" si="5"/>
        <v>Zamówienie standardowe</v>
      </c>
    </row>
    <row r="117" spans="1:10" x14ac:dyDescent="0.2">
      <c r="A117" s="15">
        <f>tabela_zamowienia[[#This Row],[order_id]]</f>
        <v>131</v>
      </c>
      <c r="B117" s="11">
        <f>tabela_zamowienia[[#This Row],[order_date]]</f>
        <v>45448</v>
      </c>
      <c r="C117" s="10">
        <f>tabela_zamowienia[[#This Row],[customer_id]]</f>
        <v>3</v>
      </c>
      <c r="D117" s="12" t="str">
        <f>tabela_zamowienia[[#This Row],[ship_country]]</f>
        <v>USA</v>
      </c>
      <c r="E117" s="13">
        <f>tabela_zamowienia[[#This Row],[order_value]]</f>
        <v>934.98</v>
      </c>
      <c r="F117" s="12" t="str">
        <f>tabela_zamowienia[[#This Row],[has_discount]]</f>
        <v>NIE</v>
      </c>
      <c r="G117" s="11" t="str">
        <f t="shared" si="3"/>
        <v>2024-06</v>
      </c>
      <c r="H117" s="12" t="str">
        <f>VLOOKUP(C117,tabela_klienci[[customer_id]:[country]],2,0)</f>
        <v>USA</v>
      </c>
      <c r="I117" s="12" t="str">
        <f t="shared" si="4"/>
        <v>Kraj zgodny</v>
      </c>
      <c r="J117" s="16" t="str">
        <f t="shared" si="5"/>
        <v>Zamówienie standardowe</v>
      </c>
    </row>
    <row r="118" spans="1:10" x14ac:dyDescent="0.2">
      <c r="A118" s="15">
        <f>tabela_zamowienia[[#This Row],[order_id]]</f>
        <v>132</v>
      </c>
      <c r="B118" s="11">
        <f>tabela_zamowienia[[#This Row],[order_date]]</f>
        <v>45450</v>
      </c>
      <c r="C118" s="10">
        <f>tabela_zamowienia[[#This Row],[customer_id]]</f>
        <v>4</v>
      </c>
      <c r="D118" s="12" t="str">
        <f>tabela_zamowienia[[#This Row],[ship_country]]</f>
        <v>USA</v>
      </c>
      <c r="E118" s="13">
        <f>tabela_zamowienia[[#This Row],[order_value]]</f>
        <v>2828.49</v>
      </c>
      <c r="F118" s="12" t="str">
        <f>tabela_zamowienia[[#This Row],[has_discount]]</f>
        <v>NIE</v>
      </c>
      <c r="G118" s="11" t="str">
        <f t="shared" si="3"/>
        <v>2024-06</v>
      </c>
      <c r="H118" s="12" t="str">
        <f>VLOOKUP(C118,tabela_klienci[[customer_id]:[country]],2,0)</f>
        <v>USA</v>
      </c>
      <c r="I118" s="12" t="str">
        <f t="shared" si="4"/>
        <v>Kraj zgodny</v>
      </c>
      <c r="J118" s="16" t="str">
        <f t="shared" si="5"/>
        <v>Zamówienie standardowe</v>
      </c>
    </row>
    <row r="119" spans="1:10" x14ac:dyDescent="0.2">
      <c r="A119" s="15">
        <f>tabela_zamowienia[[#This Row],[order_id]]</f>
        <v>133</v>
      </c>
      <c r="B119" s="11">
        <f>tabela_zamowienia[[#This Row],[order_date]]</f>
        <v>45452</v>
      </c>
      <c r="C119" s="10">
        <f>tabela_zamowienia[[#This Row],[customer_id]]</f>
        <v>5</v>
      </c>
      <c r="D119" s="12" t="str">
        <f>tabela_zamowienia[[#This Row],[ship_country]]</f>
        <v>Spain</v>
      </c>
      <c r="E119" s="13">
        <f>tabela_zamowienia[[#This Row],[order_value]]</f>
        <v>3697</v>
      </c>
      <c r="F119" s="12" t="str">
        <f>tabela_zamowienia[[#This Row],[has_discount]]</f>
        <v>NIE</v>
      </c>
      <c r="G119" s="11" t="str">
        <f t="shared" si="3"/>
        <v>2024-06</v>
      </c>
      <c r="H119" s="12" t="str">
        <f>VLOOKUP(C119,tabela_klienci[[customer_id]:[country]],2,0)</f>
        <v>Spain</v>
      </c>
      <c r="I119" s="12" t="str">
        <f t="shared" si="4"/>
        <v>Kraj zgodny</v>
      </c>
      <c r="J119" s="16" t="str">
        <f t="shared" si="5"/>
        <v>Zamówienie standardowe</v>
      </c>
    </row>
    <row r="120" spans="1:10" x14ac:dyDescent="0.2">
      <c r="A120" s="15">
        <f>tabela_zamowienia[[#This Row],[order_id]]</f>
        <v>134</v>
      </c>
      <c r="B120" s="11">
        <f>tabela_zamowienia[[#This Row],[order_date]]</f>
        <v>45454</v>
      </c>
      <c r="C120" s="10">
        <f>tabela_zamowienia[[#This Row],[customer_id]]</f>
        <v>6</v>
      </c>
      <c r="D120" s="12" t="str">
        <f>tabela_zamowienia[[#This Row],[ship_country]]</f>
        <v>UK</v>
      </c>
      <c r="E120" s="13">
        <f>tabela_zamowienia[[#This Row],[order_value]]</f>
        <v>676.39</v>
      </c>
      <c r="F120" s="12" t="str">
        <f>tabela_zamowienia[[#This Row],[has_discount]]</f>
        <v>NIE</v>
      </c>
      <c r="G120" s="11" t="str">
        <f t="shared" si="3"/>
        <v>2024-06</v>
      </c>
      <c r="H120" s="12" t="str">
        <f>VLOOKUP(C120,tabela_klienci[[customer_id]:[country]],2,0)</f>
        <v>UK</v>
      </c>
      <c r="I120" s="12" t="str">
        <f t="shared" si="4"/>
        <v>Kraj zgodny</v>
      </c>
      <c r="J120" s="16" t="str">
        <f t="shared" si="5"/>
        <v>Zamówienie standardowe</v>
      </c>
    </row>
    <row r="121" spans="1:10" x14ac:dyDescent="0.2">
      <c r="A121" s="15">
        <f>tabela_zamowienia[[#This Row],[order_id]]</f>
        <v>135</v>
      </c>
      <c r="B121" s="11">
        <f>tabela_zamowienia[[#This Row],[order_date]]</f>
        <v>45456</v>
      </c>
      <c r="C121" s="10">
        <f>tabela_zamowienia[[#This Row],[customer_id]]</f>
        <v>7</v>
      </c>
      <c r="D121" s="12" t="str">
        <f>tabela_zamowienia[[#This Row],[ship_country]]</f>
        <v>Canada</v>
      </c>
      <c r="E121" s="13">
        <f>tabela_zamowienia[[#This Row],[order_value]]</f>
        <v>3347.98</v>
      </c>
      <c r="F121" s="12" t="str">
        <f>tabela_zamowienia[[#This Row],[has_discount]]</f>
        <v>NIE</v>
      </c>
      <c r="G121" s="11" t="str">
        <f t="shared" si="3"/>
        <v>2024-06</v>
      </c>
      <c r="H121" s="12" t="str">
        <f>VLOOKUP(C121,tabela_klienci[[customer_id]:[country]],2,0)</f>
        <v>Canada</v>
      </c>
      <c r="I121" s="12" t="str">
        <f t="shared" si="4"/>
        <v>Kraj zgodny</v>
      </c>
      <c r="J121" s="16" t="str">
        <f t="shared" si="5"/>
        <v>Zamówienie standardowe</v>
      </c>
    </row>
    <row r="122" spans="1:10" x14ac:dyDescent="0.2">
      <c r="A122" s="15">
        <f>tabela_zamowienia[[#This Row],[order_id]]</f>
        <v>136</v>
      </c>
      <c r="B122" s="11">
        <f>tabela_zamowienia[[#This Row],[order_date]]</f>
        <v>45458</v>
      </c>
      <c r="C122" s="10">
        <f>tabela_zamowienia[[#This Row],[customer_id]]</f>
        <v>8</v>
      </c>
      <c r="D122" s="12" t="str">
        <f>tabela_zamowienia[[#This Row],[ship_country]]</f>
        <v>Poland</v>
      </c>
      <c r="E122" s="13">
        <f>tabela_zamowienia[[#This Row],[order_value]]</f>
        <v>264.3</v>
      </c>
      <c r="F122" s="12" t="str">
        <f>tabela_zamowienia[[#This Row],[has_discount]]</f>
        <v>NIE</v>
      </c>
      <c r="G122" s="11" t="str">
        <f t="shared" si="3"/>
        <v>2024-06</v>
      </c>
      <c r="H122" s="12" t="str">
        <f>VLOOKUP(C122,tabela_klienci[[customer_id]:[country]],2,0)</f>
        <v>Poland</v>
      </c>
      <c r="I122" s="12" t="str">
        <f t="shared" si="4"/>
        <v>Kraj zgodny</v>
      </c>
      <c r="J122" s="16" t="str">
        <f t="shared" si="5"/>
        <v>Zamówienie standardowe</v>
      </c>
    </row>
    <row r="123" spans="1:10" x14ac:dyDescent="0.2">
      <c r="A123" s="15">
        <f>tabela_zamowienia[[#This Row],[order_id]]</f>
        <v>137</v>
      </c>
      <c r="B123" s="11">
        <f>tabela_zamowienia[[#This Row],[order_date]]</f>
        <v>45460</v>
      </c>
      <c r="C123" s="10">
        <f>tabela_zamowienia[[#This Row],[customer_id]]</f>
        <v>9</v>
      </c>
      <c r="D123" s="12" t="str">
        <f>tabela_zamowienia[[#This Row],[ship_country]]</f>
        <v>Poland</v>
      </c>
      <c r="E123" s="13">
        <f>tabela_zamowienia[[#This Row],[order_value]]</f>
        <v>1178.97</v>
      </c>
      <c r="F123" s="12" t="str">
        <f>tabela_zamowienia[[#This Row],[has_discount]]</f>
        <v>NIE</v>
      </c>
      <c r="G123" s="11" t="str">
        <f t="shared" si="3"/>
        <v>2024-06</v>
      </c>
      <c r="H123" s="12" t="str">
        <f>VLOOKUP(C123,tabela_klienci[[customer_id]:[country]],2,0)</f>
        <v>Poland</v>
      </c>
      <c r="I123" s="12" t="str">
        <f t="shared" si="4"/>
        <v>Kraj zgodny</v>
      </c>
      <c r="J123" s="16" t="str">
        <f t="shared" si="5"/>
        <v>Zamówienie standardowe</v>
      </c>
    </row>
    <row r="124" spans="1:10" x14ac:dyDescent="0.2">
      <c r="A124" s="15">
        <f>tabela_zamowienia[[#This Row],[order_id]]</f>
        <v>138</v>
      </c>
      <c r="B124" s="11">
        <f>tabela_zamowienia[[#This Row],[order_date]]</f>
        <v>45462</v>
      </c>
      <c r="C124" s="10">
        <f>tabela_zamowienia[[#This Row],[customer_id]]</f>
        <v>10</v>
      </c>
      <c r="D124" s="12" t="str">
        <f>tabela_zamowienia[[#This Row],[ship_country]]</f>
        <v>Spain</v>
      </c>
      <c r="E124" s="13">
        <f>tabela_zamowienia[[#This Row],[order_value]]</f>
        <v>958.19</v>
      </c>
      <c r="F124" s="12" t="str">
        <f>tabela_zamowienia[[#This Row],[has_discount]]</f>
        <v>NIE</v>
      </c>
      <c r="G124" s="11" t="str">
        <f t="shared" si="3"/>
        <v>2024-06</v>
      </c>
      <c r="H124" s="12" t="str">
        <f>VLOOKUP(C124,tabela_klienci[[customer_id]:[country]],2,0)</f>
        <v>Spain</v>
      </c>
      <c r="I124" s="12" t="str">
        <f t="shared" si="4"/>
        <v>Kraj zgodny</v>
      </c>
      <c r="J124" s="16" t="str">
        <f t="shared" si="5"/>
        <v>Zamówienie standardowe</v>
      </c>
    </row>
    <row r="125" spans="1:10" x14ac:dyDescent="0.2">
      <c r="A125" s="15">
        <f>tabela_zamowienia[[#This Row],[order_id]]</f>
        <v>139</v>
      </c>
      <c r="B125" s="11">
        <f>tabela_zamowienia[[#This Row],[order_date]]</f>
        <v>45464</v>
      </c>
      <c r="C125" s="10">
        <f>tabela_zamowienia[[#This Row],[customer_id]]</f>
        <v>11</v>
      </c>
      <c r="D125" s="12" t="str">
        <f>tabela_zamowienia[[#This Row],[ship_country]]</f>
        <v>Portugal</v>
      </c>
      <c r="E125" s="13">
        <f>tabela_zamowienia[[#This Row],[order_value]]</f>
        <v>1476.7</v>
      </c>
      <c r="F125" s="12" t="str">
        <f>tabela_zamowienia[[#This Row],[has_discount]]</f>
        <v>NIE</v>
      </c>
      <c r="G125" s="11" t="str">
        <f t="shared" si="3"/>
        <v>2024-06</v>
      </c>
      <c r="H125" s="12" t="str">
        <f>VLOOKUP(C125,tabela_klienci[[customer_id]:[country]],2,0)</f>
        <v>Portugal</v>
      </c>
      <c r="I125" s="12" t="str">
        <f t="shared" si="4"/>
        <v>Kraj zgodny</v>
      </c>
      <c r="J125" s="16" t="str">
        <f t="shared" si="5"/>
        <v>Zamówienie standardowe</v>
      </c>
    </row>
    <row r="126" spans="1:10" x14ac:dyDescent="0.2">
      <c r="A126" s="15">
        <f>tabela_zamowienia[[#This Row],[order_id]]</f>
        <v>140</v>
      </c>
      <c r="B126" s="11">
        <f>tabela_zamowienia[[#This Row],[order_date]]</f>
        <v>45466</v>
      </c>
      <c r="C126" s="10">
        <f>tabela_zamowienia[[#This Row],[customer_id]]</f>
        <v>12</v>
      </c>
      <c r="D126" s="12" t="str">
        <f>tabela_zamowienia[[#This Row],[ship_country]]</f>
        <v>USA</v>
      </c>
      <c r="E126" s="13">
        <f>tabela_zamowienia[[#This Row],[order_value]]</f>
        <v>2146.9899999999998</v>
      </c>
      <c r="F126" s="12" t="str">
        <f>tabela_zamowienia[[#This Row],[has_discount]]</f>
        <v>NIE</v>
      </c>
      <c r="G126" s="11" t="str">
        <f t="shared" si="3"/>
        <v>2024-06</v>
      </c>
      <c r="H126" s="12" t="str">
        <f>VLOOKUP(C126,tabela_klienci[[customer_id]:[country]],2,0)</f>
        <v>USA</v>
      </c>
      <c r="I126" s="12" t="str">
        <f t="shared" si="4"/>
        <v>Kraj zgodny</v>
      </c>
      <c r="J126" s="16" t="str">
        <f t="shared" si="5"/>
        <v>Zamówienie standardowe</v>
      </c>
    </row>
    <row r="127" spans="1:10" x14ac:dyDescent="0.2">
      <c r="A127" s="15">
        <f>tabela_zamowienia[[#This Row],[order_id]]</f>
        <v>141</v>
      </c>
      <c r="B127" s="11">
        <f>tabela_zamowienia[[#This Row],[order_date]]</f>
        <v>45468</v>
      </c>
      <c r="C127" s="10">
        <f>tabela_zamowienia[[#This Row],[customer_id]]</f>
        <v>13</v>
      </c>
      <c r="D127" s="12" t="str">
        <f>tabela_zamowienia[[#This Row],[ship_country]]</f>
        <v>UK</v>
      </c>
      <c r="E127" s="13">
        <f>tabela_zamowienia[[#This Row],[order_value]]</f>
        <v>444.89</v>
      </c>
      <c r="F127" s="12" t="str">
        <f>tabela_zamowienia[[#This Row],[has_discount]]</f>
        <v>NIE</v>
      </c>
      <c r="G127" s="11" t="str">
        <f t="shared" si="3"/>
        <v>2024-06</v>
      </c>
      <c r="H127" s="12" t="str">
        <f>VLOOKUP(C127,tabela_klienci[[customer_id]:[country]],2,0)</f>
        <v>UK</v>
      </c>
      <c r="I127" s="12" t="str">
        <f t="shared" si="4"/>
        <v>Kraj zgodny</v>
      </c>
      <c r="J127" s="16" t="str">
        <f t="shared" si="5"/>
        <v>Zamówienie standardowe</v>
      </c>
    </row>
    <row r="128" spans="1:10" x14ac:dyDescent="0.2">
      <c r="A128" s="15">
        <f>tabela_zamowienia[[#This Row],[order_id]]</f>
        <v>142</v>
      </c>
      <c r="B128" s="11">
        <f>tabela_zamowienia[[#This Row],[order_date]]</f>
        <v>45470</v>
      </c>
      <c r="C128" s="10">
        <f>tabela_zamowienia[[#This Row],[customer_id]]</f>
        <v>14</v>
      </c>
      <c r="D128" s="12" t="str">
        <f>tabela_zamowienia[[#This Row],[ship_country]]</f>
        <v>UK</v>
      </c>
      <c r="E128" s="13">
        <f>tabela_zamowienia[[#This Row],[order_value]]</f>
        <v>169.7</v>
      </c>
      <c r="F128" s="12" t="str">
        <f>tabela_zamowienia[[#This Row],[has_discount]]</f>
        <v>NIE</v>
      </c>
      <c r="G128" s="11" t="str">
        <f t="shared" si="3"/>
        <v>2024-06</v>
      </c>
      <c r="H128" s="12" t="str">
        <f>VLOOKUP(C128,tabela_klienci[[customer_id]:[country]],2,0)</f>
        <v>UK</v>
      </c>
      <c r="I128" s="12" t="str">
        <f t="shared" si="4"/>
        <v>Kraj zgodny</v>
      </c>
      <c r="J128" s="16" t="str">
        <f t="shared" si="5"/>
        <v>Zamówienie standardowe</v>
      </c>
    </row>
    <row r="129" spans="1:10" x14ac:dyDescent="0.2">
      <c r="A129" s="15">
        <f>tabela_zamowienia[[#This Row],[order_id]]</f>
        <v>143</v>
      </c>
      <c r="B129" s="11">
        <f>tabela_zamowienia[[#This Row],[order_date]]</f>
        <v>45472</v>
      </c>
      <c r="C129" s="10">
        <f>tabela_zamowienia[[#This Row],[customer_id]]</f>
        <v>15</v>
      </c>
      <c r="D129" s="12" t="str">
        <f>tabela_zamowienia[[#This Row],[ship_country]]</f>
        <v>USA</v>
      </c>
      <c r="E129" s="13">
        <f>tabela_zamowienia[[#This Row],[order_value]]</f>
        <v>1497.49</v>
      </c>
      <c r="F129" s="12" t="str">
        <f>tabela_zamowienia[[#This Row],[has_discount]]</f>
        <v>NIE</v>
      </c>
      <c r="G129" s="11" t="str">
        <f t="shared" si="3"/>
        <v>2024-06</v>
      </c>
      <c r="H129" s="12" t="str">
        <f>VLOOKUP(C129,tabela_klienci[[customer_id]:[country]],2,0)</f>
        <v>USA</v>
      </c>
      <c r="I129" s="12" t="str">
        <f t="shared" si="4"/>
        <v>Kraj zgodny</v>
      </c>
      <c r="J129" s="16" t="str">
        <f t="shared" si="5"/>
        <v>Zamówienie standardowe</v>
      </c>
    </row>
    <row r="130" spans="1:10" x14ac:dyDescent="0.2">
      <c r="A130" s="15">
        <f>tabela_zamowienia[[#This Row],[order_id]]</f>
        <v>144</v>
      </c>
      <c r="B130" s="11">
        <f>tabela_zamowienia[[#This Row],[order_date]]</f>
        <v>45475</v>
      </c>
      <c r="C130" s="10">
        <f>tabela_zamowienia[[#This Row],[customer_id]]</f>
        <v>16</v>
      </c>
      <c r="D130" s="12" t="str">
        <f>tabela_zamowienia[[#This Row],[ship_country]]</f>
        <v>France</v>
      </c>
      <c r="E130" s="13">
        <f>tabela_zamowienia[[#This Row],[order_value]]</f>
        <v>268.89</v>
      </c>
      <c r="F130" s="12" t="str">
        <f>tabela_zamowienia[[#This Row],[has_discount]]</f>
        <v>NIE</v>
      </c>
      <c r="G130" s="11" t="str">
        <f t="shared" si="3"/>
        <v>2024-07</v>
      </c>
      <c r="H130" s="12" t="str">
        <f>VLOOKUP(C130,tabela_klienci[[customer_id]:[country]],2,0)</f>
        <v>France</v>
      </c>
      <c r="I130" s="12" t="str">
        <f t="shared" si="4"/>
        <v>Kraj zgodny</v>
      </c>
      <c r="J130" s="16" t="str">
        <f t="shared" si="5"/>
        <v>Zamówienie standardowe</v>
      </c>
    </row>
    <row r="131" spans="1:10" x14ac:dyDescent="0.2">
      <c r="A131" s="15">
        <f>tabela_zamowienia[[#This Row],[order_id]]</f>
        <v>145</v>
      </c>
      <c r="B131" s="11">
        <f>tabela_zamowienia[[#This Row],[order_date]]</f>
        <v>45477</v>
      </c>
      <c r="C131" s="10">
        <f>tabela_zamowienia[[#This Row],[customer_id]]</f>
        <v>17</v>
      </c>
      <c r="D131" s="12" t="str">
        <f>tabela_zamowienia[[#This Row],[ship_country]]</f>
        <v>Canada</v>
      </c>
      <c r="E131" s="13">
        <f>tabela_zamowienia[[#This Row],[order_value]]</f>
        <v>458.98</v>
      </c>
      <c r="F131" s="12" t="str">
        <f>tabela_zamowienia[[#This Row],[has_discount]]</f>
        <v>NIE</v>
      </c>
      <c r="G131" s="11" t="str">
        <f t="shared" si="3"/>
        <v>2024-07</v>
      </c>
      <c r="H131" s="12" t="str">
        <f>VLOOKUP(C131,tabela_klienci[[customer_id]:[country]],2,0)</f>
        <v>Canada</v>
      </c>
      <c r="I131" s="12" t="str">
        <f t="shared" si="4"/>
        <v>Kraj zgodny</v>
      </c>
      <c r="J131" s="16" t="str">
        <f t="shared" si="5"/>
        <v>Zamówienie standardowe</v>
      </c>
    </row>
    <row r="132" spans="1:10" x14ac:dyDescent="0.2">
      <c r="A132" s="15">
        <f>tabela_zamowienia[[#This Row],[order_id]]</f>
        <v>146</v>
      </c>
      <c r="B132" s="11">
        <f>tabela_zamowienia[[#This Row],[order_date]]</f>
        <v>45479</v>
      </c>
      <c r="C132" s="10">
        <f>tabela_zamowienia[[#This Row],[customer_id]]</f>
        <v>18</v>
      </c>
      <c r="D132" s="12" t="str">
        <f>tabela_zamowienia[[#This Row],[ship_country]]</f>
        <v>Spain</v>
      </c>
      <c r="E132" s="13">
        <f>tabela_zamowienia[[#This Row],[order_value]]</f>
        <v>6176.39</v>
      </c>
      <c r="F132" s="12" t="str">
        <f>tabela_zamowienia[[#This Row],[has_discount]]</f>
        <v>NIE</v>
      </c>
      <c r="G132" s="11" t="str">
        <f t="shared" ref="G132:G186" si="6">TEXT(B132,"RRRR-MM")</f>
        <v>2024-07</v>
      </c>
      <c r="H132" s="12" t="str">
        <f>VLOOKUP(C132,tabela_klienci[[customer_id]:[country]],2,0)</f>
        <v>Spain</v>
      </c>
      <c r="I132" s="12" t="str">
        <f t="shared" ref="I132:I186" si="7">IF(D132=H132,"Kraj zgodny","Wysyłka za granicę")</f>
        <v>Kraj zgodny</v>
      </c>
      <c r="J132" s="16" t="str">
        <f t="shared" ref="J132:J186" si="8">IF(OR(F132="TAK",E132&lt;100),"Zamówienie z rabatem lub niskiej wartości","Zamówienie standardowe")</f>
        <v>Zamówienie standardowe</v>
      </c>
    </row>
    <row r="133" spans="1:10" x14ac:dyDescent="0.2">
      <c r="A133" s="15">
        <f>tabela_zamowienia[[#This Row],[order_id]]</f>
        <v>147</v>
      </c>
      <c r="B133" s="11">
        <f>tabela_zamowienia[[#This Row],[order_date]]</f>
        <v>45481</v>
      </c>
      <c r="C133" s="10">
        <f>tabela_zamowienia[[#This Row],[customer_id]]</f>
        <v>19</v>
      </c>
      <c r="D133" s="12" t="str">
        <f>tabela_zamowienia[[#This Row],[ship_country]]</f>
        <v>South Korea</v>
      </c>
      <c r="E133" s="13">
        <f>tabela_zamowienia[[#This Row],[order_value]]</f>
        <v>5898.99</v>
      </c>
      <c r="F133" s="12" t="str">
        <f>tabela_zamowienia[[#This Row],[has_discount]]</f>
        <v>NIE</v>
      </c>
      <c r="G133" s="11" t="str">
        <f t="shared" si="6"/>
        <v>2024-07</v>
      </c>
      <c r="H133" s="12" t="str">
        <f>VLOOKUP(C133,tabela_klienci[[customer_id]:[country]],2,0)</f>
        <v>South Korea</v>
      </c>
      <c r="I133" s="12" t="str">
        <f t="shared" si="7"/>
        <v>Kraj zgodny</v>
      </c>
      <c r="J133" s="16" t="str">
        <f t="shared" si="8"/>
        <v>Zamówienie standardowe</v>
      </c>
    </row>
    <row r="134" spans="1:10" x14ac:dyDescent="0.2">
      <c r="A134" s="15">
        <f>tabela_zamowienia[[#This Row],[order_id]]</f>
        <v>148</v>
      </c>
      <c r="B134" s="11">
        <f>tabela_zamowienia[[#This Row],[order_date]]</f>
        <v>45483</v>
      </c>
      <c r="C134" s="10">
        <f>tabela_zamowienia[[#This Row],[customer_id]]</f>
        <v>20</v>
      </c>
      <c r="D134" s="12" t="str">
        <f>tabela_zamowienia[[#This Row],[ship_country]]</f>
        <v>UK</v>
      </c>
      <c r="E134" s="13">
        <f>tabela_zamowienia[[#This Row],[order_value]]</f>
        <v>1837.89</v>
      </c>
      <c r="F134" s="12" t="str">
        <f>tabela_zamowienia[[#This Row],[has_discount]]</f>
        <v>NIE</v>
      </c>
      <c r="G134" s="11" t="str">
        <f t="shared" si="6"/>
        <v>2024-07</v>
      </c>
      <c r="H134" s="12" t="str">
        <f>VLOOKUP(C134,tabela_klienci[[customer_id]:[country]],2,0)</f>
        <v>UK</v>
      </c>
      <c r="I134" s="12" t="str">
        <f t="shared" si="7"/>
        <v>Kraj zgodny</v>
      </c>
      <c r="J134" s="16" t="str">
        <f t="shared" si="8"/>
        <v>Zamówienie standardowe</v>
      </c>
    </row>
    <row r="135" spans="1:10" x14ac:dyDescent="0.2">
      <c r="A135" s="15">
        <f>tabela_zamowienia[[#This Row],[order_id]]</f>
        <v>149</v>
      </c>
      <c r="B135" s="11">
        <f>tabela_zamowienia[[#This Row],[order_date]]</f>
        <v>45506</v>
      </c>
      <c r="C135" s="10">
        <f>tabela_zamowienia[[#This Row],[customer_id]]</f>
        <v>21</v>
      </c>
      <c r="D135" s="12" t="str">
        <f>tabela_zamowienia[[#This Row],[ship_country]]</f>
        <v>USA</v>
      </c>
      <c r="E135" s="13">
        <f>tabela_zamowienia[[#This Row],[order_value]]</f>
        <v>5278.4</v>
      </c>
      <c r="F135" s="12" t="str">
        <f>tabela_zamowienia[[#This Row],[has_discount]]</f>
        <v>NIE</v>
      </c>
      <c r="G135" s="11" t="str">
        <f t="shared" si="6"/>
        <v>2024-08</v>
      </c>
      <c r="H135" s="12" t="str">
        <f>VLOOKUP(C135,tabela_klienci[[customer_id]:[country]],2,0)</f>
        <v>USA</v>
      </c>
      <c r="I135" s="12" t="str">
        <f t="shared" si="7"/>
        <v>Kraj zgodny</v>
      </c>
      <c r="J135" s="16" t="str">
        <f t="shared" si="8"/>
        <v>Zamówienie standardowe</v>
      </c>
    </row>
    <row r="136" spans="1:10" x14ac:dyDescent="0.2">
      <c r="A136" s="15">
        <f>tabela_zamowienia[[#This Row],[order_id]]</f>
        <v>150</v>
      </c>
      <c r="B136" s="11">
        <f>tabela_zamowienia[[#This Row],[order_date]]</f>
        <v>45508</v>
      </c>
      <c r="C136" s="10">
        <f>tabela_zamowienia[[#This Row],[customer_id]]</f>
        <v>22</v>
      </c>
      <c r="D136" s="12" t="str">
        <f>tabela_zamowienia[[#This Row],[ship_country]]</f>
        <v>Poland</v>
      </c>
      <c r="E136" s="13">
        <f>tabela_zamowienia[[#This Row],[order_value]]</f>
        <v>169.4</v>
      </c>
      <c r="F136" s="12" t="str">
        <f>tabela_zamowienia[[#This Row],[has_discount]]</f>
        <v>NIE</v>
      </c>
      <c r="G136" s="11" t="str">
        <f t="shared" si="6"/>
        <v>2024-08</v>
      </c>
      <c r="H136" s="12" t="str">
        <f>VLOOKUP(C136,tabela_klienci[[customer_id]:[country]],2,0)</f>
        <v>Poland</v>
      </c>
      <c r="I136" s="12" t="str">
        <f t="shared" si="7"/>
        <v>Kraj zgodny</v>
      </c>
      <c r="J136" s="16" t="str">
        <f t="shared" si="8"/>
        <v>Zamówienie standardowe</v>
      </c>
    </row>
    <row r="137" spans="1:10" x14ac:dyDescent="0.2">
      <c r="A137" s="15">
        <f>tabela_zamowienia[[#This Row],[order_id]]</f>
        <v>151</v>
      </c>
      <c r="B137" s="11">
        <f>tabela_zamowienia[[#This Row],[order_date]]</f>
        <v>45510</v>
      </c>
      <c r="C137" s="10">
        <f>tabela_zamowienia[[#This Row],[customer_id]]</f>
        <v>23</v>
      </c>
      <c r="D137" s="12" t="str">
        <f>tabela_zamowienia[[#This Row],[ship_country]]</f>
        <v>Spain</v>
      </c>
      <c r="E137" s="13">
        <f>tabela_zamowienia[[#This Row],[order_value]]</f>
        <v>349.6</v>
      </c>
      <c r="F137" s="12" t="str">
        <f>tabela_zamowienia[[#This Row],[has_discount]]</f>
        <v>NIE</v>
      </c>
      <c r="G137" s="11" t="str">
        <f t="shared" si="6"/>
        <v>2024-08</v>
      </c>
      <c r="H137" s="12" t="str">
        <f>VLOOKUP(C137,tabela_klienci[[customer_id]:[country]],2,0)</f>
        <v>Spain</v>
      </c>
      <c r="I137" s="12" t="str">
        <f t="shared" si="7"/>
        <v>Kraj zgodny</v>
      </c>
      <c r="J137" s="16" t="str">
        <f t="shared" si="8"/>
        <v>Zamówienie standardowe</v>
      </c>
    </row>
    <row r="138" spans="1:10" x14ac:dyDescent="0.2">
      <c r="A138" s="15">
        <f>tabela_zamowienia[[#This Row],[order_id]]</f>
        <v>152</v>
      </c>
      <c r="B138" s="11">
        <f>tabela_zamowienia[[#This Row],[order_date]]</f>
        <v>45512</v>
      </c>
      <c r="C138" s="10">
        <f>tabela_zamowienia[[#This Row],[customer_id]]</f>
        <v>24</v>
      </c>
      <c r="D138" s="12" t="str">
        <f>tabela_zamowienia[[#This Row],[ship_country]]</f>
        <v>Poland</v>
      </c>
      <c r="E138" s="13">
        <f>tabela_zamowienia[[#This Row],[order_value]]</f>
        <v>201.81</v>
      </c>
      <c r="F138" s="12" t="str">
        <f>tabela_zamowienia[[#This Row],[has_discount]]</f>
        <v>TAK</v>
      </c>
      <c r="G138" s="11" t="str">
        <f t="shared" si="6"/>
        <v>2024-08</v>
      </c>
      <c r="H138" s="12" t="str">
        <f>VLOOKUP(C138,tabela_klienci[[customer_id]:[country]],2,0)</f>
        <v>Poland</v>
      </c>
      <c r="I138" s="12" t="str">
        <f t="shared" si="7"/>
        <v>Kraj zgodny</v>
      </c>
      <c r="J138" s="16" t="str">
        <f t="shared" si="8"/>
        <v>Zamówienie z rabatem lub niskiej wartości</v>
      </c>
    </row>
    <row r="139" spans="1:10" x14ac:dyDescent="0.2">
      <c r="A139" s="15">
        <f>tabela_zamowienia[[#This Row],[order_id]]</f>
        <v>153</v>
      </c>
      <c r="B139" s="11">
        <f>tabela_zamowienia[[#This Row],[order_date]]</f>
        <v>45514</v>
      </c>
      <c r="C139" s="10">
        <f>tabela_zamowienia[[#This Row],[customer_id]]</f>
        <v>25</v>
      </c>
      <c r="D139" s="12" t="str">
        <f>tabela_zamowienia[[#This Row],[ship_country]]</f>
        <v>Poland</v>
      </c>
      <c r="E139" s="13">
        <f>tabela_zamowienia[[#This Row],[order_value]]</f>
        <v>523.89</v>
      </c>
      <c r="F139" s="12" t="str">
        <f>tabela_zamowienia[[#This Row],[has_discount]]</f>
        <v>NIE</v>
      </c>
      <c r="G139" s="11" t="str">
        <f t="shared" si="6"/>
        <v>2024-08</v>
      </c>
      <c r="H139" s="12" t="str">
        <f>VLOOKUP(C139,tabela_klienci[[customer_id]:[country]],2,0)</f>
        <v>Poland</v>
      </c>
      <c r="I139" s="12" t="str">
        <f t="shared" si="7"/>
        <v>Kraj zgodny</v>
      </c>
      <c r="J139" s="16" t="str">
        <f t="shared" si="8"/>
        <v>Zamówienie standardowe</v>
      </c>
    </row>
    <row r="140" spans="1:10" x14ac:dyDescent="0.2">
      <c r="A140" s="15">
        <f>tabela_zamowienia[[#This Row],[order_id]]</f>
        <v>154</v>
      </c>
      <c r="B140" s="11">
        <f>tabela_zamowienia[[#This Row],[order_date]]</f>
        <v>45516</v>
      </c>
      <c r="C140" s="10">
        <f>tabela_zamowienia[[#This Row],[customer_id]]</f>
        <v>26</v>
      </c>
      <c r="D140" s="12" t="str">
        <f>tabela_zamowienia[[#This Row],[ship_country]]</f>
        <v>Germany</v>
      </c>
      <c r="E140" s="13">
        <f>tabela_zamowienia[[#This Row],[order_value]]</f>
        <v>1159.3900000000001</v>
      </c>
      <c r="F140" s="12" t="str">
        <f>tabela_zamowienia[[#This Row],[has_discount]]</f>
        <v>NIE</v>
      </c>
      <c r="G140" s="11" t="str">
        <f t="shared" si="6"/>
        <v>2024-08</v>
      </c>
      <c r="H140" s="12" t="str">
        <f>VLOOKUP(C140,tabela_klienci[[customer_id]:[country]],2,0)</f>
        <v>Germany</v>
      </c>
      <c r="I140" s="12" t="str">
        <f t="shared" si="7"/>
        <v>Kraj zgodny</v>
      </c>
      <c r="J140" s="16" t="str">
        <f t="shared" si="8"/>
        <v>Zamówienie standardowe</v>
      </c>
    </row>
    <row r="141" spans="1:10" x14ac:dyDescent="0.2">
      <c r="A141" s="15">
        <f>tabela_zamowienia[[#This Row],[order_id]]</f>
        <v>155</v>
      </c>
      <c r="B141" s="11">
        <f>tabela_zamowienia[[#This Row],[order_date]]</f>
        <v>45518</v>
      </c>
      <c r="C141" s="10">
        <f>tabela_zamowienia[[#This Row],[customer_id]]</f>
        <v>27</v>
      </c>
      <c r="D141" s="12" t="str">
        <f>tabela_zamowienia[[#This Row],[ship_country]]</f>
        <v>USA</v>
      </c>
      <c r="E141" s="13">
        <f>tabela_zamowienia[[#This Row],[order_value]]</f>
        <v>408.49</v>
      </c>
      <c r="F141" s="12" t="str">
        <f>tabela_zamowienia[[#This Row],[has_discount]]</f>
        <v>NIE</v>
      </c>
      <c r="G141" s="11" t="str">
        <f t="shared" si="6"/>
        <v>2024-08</v>
      </c>
      <c r="H141" s="12" t="str">
        <f>VLOOKUP(C141,tabela_klienci[[customer_id]:[country]],2,0)</f>
        <v>USA</v>
      </c>
      <c r="I141" s="12" t="str">
        <f t="shared" si="7"/>
        <v>Kraj zgodny</v>
      </c>
      <c r="J141" s="16" t="str">
        <f t="shared" si="8"/>
        <v>Zamówienie standardowe</v>
      </c>
    </row>
    <row r="142" spans="1:10" x14ac:dyDescent="0.2">
      <c r="A142" s="15">
        <f>tabela_zamowienia[[#This Row],[order_id]]</f>
        <v>156</v>
      </c>
      <c r="B142" s="11">
        <f>tabela_zamowienia[[#This Row],[order_date]]</f>
        <v>45520</v>
      </c>
      <c r="C142" s="10">
        <f>tabela_zamowienia[[#This Row],[customer_id]]</f>
        <v>28</v>
      </c>
      <c r="D142" s="12" t="str">
        <f>tabela_zamowienia[[#This Row],[ship_country]]</f>
        <v>USA</v>
      </c>
      <c r="E142" s="13">
        <f>tabela_zamowienia[[#This Row],[order_value]]</f>
        <v>1558.47</v>
      </c>
      <c r="F142" s="12" t="str">
        <f>tabela_zamowienia[[#This Row],[has_discount]]</f>
        <v>NIE</v>
      </c>
      <c r="G142" s="11" t="str">
        <f t="shared" si="6"/>
        <v>2024-08</v>
      </c>
      <c r="H142" s="12" t="str">
        <f>VLOOKUP(C142,tabela_klienci[[customer_id]:[country]],2,0)</f>
        <v>USA</v>
      </c>
      <c r="I142" s="12" t="str">
        <f t="shared" si="7"/>
        <v>Kraj zgodny</v>
      </c>
      <c r="J142" s="16" t="str">
        <f t="shared" si="8"/>
        <v>Zamówienie standardowe</v>
      </c>
    </row>
    <row r="143" spans="1:10" x14ac:dyDescent="0.2">
      <c r="A143" s="15">
        <f>tabela_zamowienia[[#This Row],[order_id]]</f>
        <v>157</v>
      </c>
      <c r="B143" s="11">
        <f>tabela_zamowienia[[#This Row],[order_date]]</f>
        <v>45522</v>
      </c>
      <c r="C143" s="10">
        <f>tabela_zamowienia[[#This Row],[customer_id]]</f>
        <v>29</v>
      </c>
      <c r="D143" s="12" t="str">
        <f>tabela_zamowienia[[#This Row],[ship_country]]</f>
        <v>USA</v>
      </c>
      <c r="E143" s="13">
        <f>tabela_zamowienia[[#This Row],[order_value]]</f>
        <v>207.99</v>
      </c>
      <c r="F143" s="12" t="str">
        <f>tabela_zamowienia[[#This Row],[has_discount]]</f>
        <v>NIE</v>
      </c>
      <c r="G143" s="11" t="str">
        <f t="shared" si="6"/>
        <v>2024-08</v>
      </c>
      <c r="H143" s="12" t="str">
        <f>VLOOKUP(C143,tabela_klienci[[customer_id]:[country]],2,0)</f>
        <v>USA</v>
      </c>
      <c r="I143" s="12" t="str">
        <f t="shared" si="7"/>
        <v>Kraj zgodny</v>
      </c>
      <c r="J143" s="16" t="str">
        <f t="shared" si="8"/>
        <v>Zamówienie standardowe</v>
      </c>
    </row>
    <row r="144" spans="1:10" x14ac:dyDescent="0.2">
      <c r="A144" s="15">
        <f>tabela_zamowienia[[#This Row],[order_id]]</f>
        <v>158</v>
      </c>
      <c r="B144" s="11">
        <f>tabela_zamowienia[[#This Row],[order_date]]</f>
        <v>45524</v>
      </c>
      <c r="C144" s="10">
        <f>tabela_zamowienia[[#This Row],[customer_id]]</f>
        <v>30</v>
      </c>
      <c r="D144" s="12" t="str">
        <f>tabela_zamowienia[[#This Row],[ship_country]]</f>
        <v>Italy</v>
      </c>
      <c r="E144" s="13">
        <f>tabela_zamowienia[[#This Row],[order_value]]</f>
        <v>524.89</v>
      </c>
      <c r="F144" s="12" t="str">
        <f>tabela_zamowienia[[#This Row],[has_discount]]</f>
        <v>TAK</v>
      </c>
      <c r="G144" s="11" t="str">
        <f t="shared" si="6"/>
        <v>2024-08</v>
      </c>
      <c r="H144" s="12" t="str">
        <f>VLOOKUP(C144,tabela_klienci[[customer_id]:[country]],2,0)</f>
        <v>USA</v>
      </c>
      <c r="I144" s="12" t="str">
        <f t="shared" si="7"/>
        <v>Wysyłka za granicę</v>
      </c>
      <c r="J144" s="16" t="str">
        <f t="shared" si="8"/>
        <v>Zamówienie z rabatem lub niskiej wartości</v>
      </c>
    </row>
    <row r="145" spans="1:10" x14ac:dyDescent="0.2">
      <c r="A145" s="15">
        <f>tabela_zamowienia[[#This Row],[order_id]]</f>
        <v>159</v>
      </c>
      <c r="B145" s="11">
        <f>tabela_zamowienia[[#This Row],[order_date]]</f>
        <v>45536</v>
      </c>
      <c r="C145" s="10">
        <f>tabela_zamowienia[[#This Row],[customer_id]]</f>
        <v>31</v>
      </c>
      <c r="D145" s="12" t="str">
        <f>tabela_zamowienia[[#This Row],[ship_country]]</f>
        <v>Poland</v>
      </c>
      <c r="E145" s="13">
        <f>tabela_zamowienia[[#This Row],[order_value]]</f>
        <v>119.88</v>
      </c>
      <c r="F145" s="12" t="str">
        <f>tabela_zamowienia[[#This Row],[has_discount]]</f>
        <v>NIE</v>
      </c>
      <c r="G145" s="11" t="str">
        <f t="shared" si="6"/>
        <v>2024-09</v>
      </c>
      <c r="H145" s="12" t="str">
        <f>VLOOKUP(C145,tabela_klienci[[customer_id]:[country]],2,0)</f>
        <v>Italy</v>
      </c>
      <c r="I145" s="12" t="str">
        <f t="shared" si="7"/>
        <v>Wysyłka za granicę</v>
      </c>
      <c r="J145" s="16" t="str">
        <f t="shared" si="8"/>
        <v>Zamówienie standardowe</v>
      </c>
    </row>
    <row r="146" spans="1:10" x14ac:dyDescent="0.2">
      <c r="A146" s="15">
        <f>tabela_zamowienia[[#This Row],[order_id]]</f>
        <v>160</v>
      </c>
      <c r="B146" s="11">
        <f>tabela_zamowienia[[#This Row],[order_date]]</f>
        <v>45538</v>
      </c>
      <c r="C146" s="10">
        <f>tabela_zamowienia[[#This Row],[customer_id]]</f>
        <v>32</v>
      </c>
      <c r="D146" s="12" t="str">
        <f>tabela_zamowienia[[#This Row],[ship_country]]</f>
        <v>Poland</v>
      </c>
      <c r="E146" s="13">
        <f>tabela_zamowienia[[#This Row],[order_value]]</f>
        <v>7697.5</v>
      </c>
      <c r="F146" s="12" t="str">
        <f>tabela_zamowienia[[#This Row],[has_discount]]</f>
        <v>NIE</v>
      </c>
      <c r="G146" s="11" t="str">
        <f t="shared" si="6"/>
        <v>2024-09</v>
      </c>
      <c r="H146" s="12" t="str">
        <f>VLOOKUP(C146,tabela_klienci[[customer_id]:[country]],2,0)</f>
        <v>USA</v>
      </c>
      <c r="I146" s="12" t="str">
        <f t="shared" si="7"/>
        <v>Wysyłka za granicę</v>
      </c>
      <c r="J146" s="16" t="str">
        <f t="shared" si="8"/>
        <v>Zamówienie standardowe</v>
      </c>
    </row>
    <row r="147" spans="1:10" x14ac:dyDescent="0.2">
      <c r="A147" s="15">
        <f>tabela_zamowienia[[#This Row],[order_id]]</f>
        <v>161</v>
      </c>
      <c r="B147" s="11">
        <f>tabela_zamowienia[[#This Row],[order_date]]</f>
        <v>45540</v>
      </c>
      <c r="C147" s="10">
        <f>tabela_zamowienia[[#This Row],[customer_id]]</f>
        <v>33</v>
      </c>
      <c r="D147" s="12" t="str">
        <f>tabela_zamowienia[[#This Row],[ship_country]]</f>
        <v>Sweden</v>
      </c>
      <c r="E147" s="13">
        <f>tabela_zamowienia[[#This Row],[order_value]]</f>
        <v>234.7</v>
      </c>
      <c r="F147" s="12" t="str">
        <f>tabela_zamowienia[[#This Row],[has_discount]]</f>
        <v>NIE</v>
      </c>
      <c r="G147" s="11" t="str">
        <f t="shared" si="6"/>
        <v>2024-09</v>
      </c>
      <c r="H147" s="12" t="str">
        <f>VLOOKUP(C147,tabela_klienci[[customer_id]:[country]],2,0)</f>
        <v>Poland</v>
      </c>
      <c r="I147" s="12" t="str">
        <f t="shared" si="7"/>
        <v>Wysyłka za granicę</v>
      </c>
      <c r="J147" s="16" t="str">
        <f t="shared" si="8"/>
        <v>Zamówienie standardowe</v>
      </c>
    </row>
    <row r="148" spans="1:10" x14ac:dyDescent="0.2">
      <c r="A148" s="15">
        <f>tabela_zamowienia[[#This Row],[order_id]]</f>
        <v>162</v>
      </c>
      <c r="B148" s="11">
        <f>tabela_zamowienia[[#This Row],[order_date]]</f>
        <v>45542</v>
      </c>
      <c r="C148" s="10">
        <f>tabela_zamowienia[[#This Row],[customer_id]]</f>
        <v>34</v>
      </c>
      <c r="D148" s="12" t="str">
        <f>tabela_zamowienia[[#This Row],[ship_country]]</f>
        <v>Sweden</v>
      </c>
      <c r="E148" s="13">
        <f>tabela_zamowienia[[#This Row],[order_value]]</f>
        <v>259.27999999999997</v>
      </c>
      <c r="F148" s="12" t="str">
        <f>tabela_zamowienia[[#This Row],[has_discount]]</f>
        <v>NIE</v>
      </c>
      <c r="G148" s="11" t="str">
        <f t="shared" si="6"/>
        <v>2024-09</v>
      </c>
      <c r="H148" s="12" t="str">
        <f>VLOOKUP(C148,tabela_klienci[[customer_id]:[country]],2,0)</f>
        <v>Poland</v>
      </c>
      <c r="I148" s="12" t="str">
        <f t="shared" si="7"/>
        <v>Wysyłka za granicę</v>
      </c>
      <c r="J148" s="16" t="str">
        <f t="shared" si="8"/>
        <v>Zamówienie standardowe</v>
      </c>
    </row>
    <row r="149" spans="1:10" x14ac:dyDescent="0.2">
      <c r="A149" s="15">
        <f>tabela_zamowienia[[#This Row],[order_id]]</f>
        <v>163</v>
      </c>
      <c r="B149" s="11">
        <f>tabela_zamowienia[[#This Row],[order_date]]</f>
        <v>45544</v>
      </c>
      <c r="C149" s="10">
        <f>tabela_zamowienia[[#This Row],[customer_id]]</f>
        <v>35</v>
      </c>
      <c r="D149" s="12" t="str">
        <f>tabela_zamowienia[[#This Row],[ship_country]]</f>
        <v>Poland</v>
      </c>
      <c r="E149" s="13">
        <f>tabela_zamowienia[[#This Row],[order_value]]</f>
        <v>179.49</v>
      </c>
      <c r="F149" s="12" t="str">
        <f>tabela_zamowienia[[#This Row],[has_discount]]</f>
        <v>NIE</v>
      </c>
      <c r="G149" s="11" t="str">
        <f t="shared" si="6"/>
        <v>2024-09</v>
      </c>
      <c r="H149" s="12" t="str">
        <f>VLOOKUP(C149,tabela_klienci[[customer_id]:[country]],2,0)</f>
        <v>Ukraine</v>
      </c>
      <c r="I149" s="12" t="str">
        <f t="shared" si="7"/>
        <v>Wysyłka za granicę</v>
      </c>
      <c r="J149" s="16" t="str">
        <f t="shared" si="8"/>
        <v>Zamówienie standardowe</v>
      </c>
    </row>
    <row r="150" spans="1:10" x14ac:dyDescent="0.2">
      <c r="A150" s="15">
        <f>tabela_zamowienia[[#This Row],[order_id]]</f>
        <v>164</v>
      </c>
      <c r="B150" s="11">
        <f>tabela_zamowienia[[#This Row],[order_date]]</f>
        <v>45546</v>
      </c>
      <c r="C150" s="10">
        <f>tabela_zamowienia[[#This Row],[customer_id]]</f>
        <v>36</v>
      </c>
      <c r="D150" s="12" t="str">
        <f>tabela_zamowienia[[#This Row],[ship_country]]</f>
        <v>Poland</v>
      </c>
      <c r="E150" s="13">
        <f>tabela_zamowienia[[#This Row],[order_value]]</f>
        <v>1358.89</v>
      </c>
      <c r="F150" s="12" t="str">
        <f>tabela_zamowienia[[#This Row],[has_discount]]</f>
        <v>NIE</v>
      </c>
      <c r="G150" s="11" t="str">
        <f t="shared" si="6"/>
        <v>2024-09</v>
      </c>
      <c r="H150" s="12" t="str">
        <f>VLOOKUP(C150,tabela_klienci[[customer_id]:[country]],2,0)</f>
        <v>Russia</v>
      </c>
      <c r="I150" s="12" t="str">
        <f t="shared" si="7"/>
        <v>Wysyłka za granicę</v>
      </c>
      <c r="J150" s="16" t="str">
        <f t="shared" si="8"/>
        <v>Zamówienie standardowe</v>
      </c>
    </row>
    <row r="151" spans="1:10" x14ac:dyDescent="0.2">
      <c r="A151" s="15">
        <f>tabela_zamowienia[[#This Row],[order_id]]</f>
        <v>165</v>
      </c>
      <c r="B151" s="11">
        <f>tabela_zamowienia[[#This Row],[order_date]]</f>
        <v>45548</v>
      </c>
      <c r="C151" s="10">
        <f>tabela_zamowienia[[#This Row],[customer_id]]</f>
        <v>37</v>
      </c>
      <c r="D151" s="12" t="str">
        <f>tabela_zamowienia[[#This Row],[ship_country]]</f>
        <v>UK</v>
      </c>
      <c r="E151" s="13">
        <f>tabela_zamowienia[[#This Row],[order_value]]</f>
        <v>3438.98</v>
      </c>
      <c r="F151" s="12" t="str">
        <f>tabela_zamowienia[[#This Row],[has_discount]]</f>
        <v>NIE</v>
      </c>
      <c r="G151" s="11" t="str">
        <f t="shared" si="6"/>
        <v>2024-09</v>
      </c>
      <c r="H151" s="12" t="str">
        <f>VLOOKUP(C151,tabela_klienci[[customer_id]:[country]],2,0)</f>
        <v>Japan</v>
      </c>
      <c r="I151" s="12" t="str">
        <f t="shared" si="7"/>
        <v>Wysyłka za granicę</v>
      </c>
      <c r="J151" s="16" t="str">
        <f t="shared" si="8"/>
        <v>Zamówienie standardowe</v>
      </c>
    </row>
    <row r="152" spans="1:10" x14ac:dyDescent="0.2">
      <c r="A152" s="15">
        <f>tabela_zamowienia[[#This Row],[order_id]]</f>
        <v>166</v>
      </c>
      <c r="B152" s="11">
        <f>tabela_zamowienia[[#This Row],[order_date]]</f>
        <v>45550</v>
      </c>
      <c r="C152" s="10">
        <f>tabela_zamowienia[[#This Row],[customer_id]]</f>
        <v>38</v>
      </c>
      <c r="D152" s="12" t="str">
        <f>tabela_zamowienia[[#This Row],[ship_country]]</f>
        <v>China</v>
      </c>
      <c r="E152" s="13">
        <f>tabela_zamowienia[[#This Row],[order_value]]</f>
        <v>573.88</v>
      </c>
      <c r="F152" s="12" t="str">
        <f>tabela_zamowienia[[#This Row],[has_discount]]</f>
        <v>NIE</v>
      </c>
      <c r="G152" s="11" t="str">
        <f t="shared" si="6"/>
        <v>2024-09</v>
      </c>
      <c r="H152" s="12" t="str">
        <f>VLOOKUP(C152,tabela_klienci[[customer_id]:[country]],2,0)</f>
        <v>UAE</v>
      </c>
      <c r="I152" s="12" t="str">
        <f t="shared" si="7"/>
        <v>Wysyłka za granicę</v>
      </c>
      <c r="J152" s="16" t="str">
        <f t="shared" si="8"/>
        <v>Zamówienie standardowe</v>
      </c>
    </row>
    <row r="153" spans="1:10" x14ac:dyDescent="0.2">
      <c r="A153" s="15">
        <f>tabela_zamowienia[[#This Row],[order_id]]</f>
        <v>167</v>
      </c>
      <c r="B153" s="11">
        <f>tabela_zamowienia[[#This Row],[order_date]]</f>
        <v>45552</v>
      </c>
      <c r="C153" s="10">
        <f>tabela_zamowienia[[#This Row],[customer_id]]</f>
        <v>39</v>
      </c>
      <c r="D153" s="12" t="str">
        <f>tabela_zamowienia[[#This Row],[ship_country]]</f>
        <v>India</v>
      </c>
      <c r="E153" s="13">
        <f>tabela_zamowienia[[#This Row],[order_value]]</f>
        <v>497.99</v>
      </c>
      <c r="F153" s="12" t="str">
        <f>tabela_zamowienia[[#This Row],[has_discount]]</f>
        <v>NIE</v>
      </c>
      <c r="G153" s="11" t="str">
        <f t="shared" si="6"/>
        <v>2024-09</v>
      </c>
      <c r="H153" s="12" t="str">
        <f>VLOOKUP(C153,tabela_klienci[[customer_id]:[country]],2,0)</f>
        <v>China</v>
      </c>
      <c r="I153" s="12" t="str">
        <f t="shared" si="7"/>
        <v>Wysyłka za granicę</v>
      </c>
      <c r="J153" s="16" t="str">
        <f t="shared" si="8"/>
        <v>Zamówienie standardowe</v>
      </c>
    </row>
    <row r="154" spans="1:10" x14ac:dyDescent="0.2">
      <c r="A154" s="15">
        <f>tabela_zamowienia[[#This Row],[order_id]]</f>
        <v>168</v>
      </c>
      <c r="B154" s="11">
        <f>tabela_zamowienia[[#This Row],[order_date]]</f>
        <v>45554</v>
      </c>
      <c r="C154" s="10">
        <f>tabela_zamowienia[[#This Row],[customer_id]]</f>
        <v>40</v>
      </c>
      <c r="D154" s="12" t="str">
        <f>tabela_zamowienia[[#This Row],[ship_country]]</f>
        <v>Poland</v>
      </c>
      <c r="E154" s="13">
        <f>tabela_zamowienia[[#This Row],[order_value]]</f>
        <v>139.79</v>
      </c>
      <c r="F154" s="12" t="str">
        <f>tabela_zamowienia[[#This Row],[has_discount]]</f>
        <v>NIE</v>
      </c>
      <c r="G154" s="11" t="str">
        <f t="shared" si="6"/>
        <v>2024-09</v>
      </c>
      <c r="H154" s="12" t="str">
        <f>VLOOKUP(C154,tabela_klienci[[customer_id]:[country]],2,0)</f>
        <v>India</v>
      </c>
      <c r="I154" s="12" t="str">
        <f t="shared" si="7"/>
        <v>Wysyłka za granicę</v>
      </c>
      <c r="J154" s="16" t="str">
        <f t="shared" si="8"/>
        <v>Zamówienie standardowe</v>
      </c>
    </row>
    <row r="155" spans="1:10" x14ac:dyDescent="0.2">
      <c r="A155" s="15">
        <f>tabela_zamowienia[[#This Row],[order_id]]</f>
        <v>169</v>
      </c>
      <c r="B155" s="11">
        <f>tabela_zamowienia[[#This Row],[order_date]]</f>
        <v>45566</v>
      </c>
      <c r="C155" s="10">
        <f>tabela_zamowienia[[#This Row],[customer_id]]</f>
        <v>1</v>
      </c>
      <c r="D155" s="12" t="str">
        <f>tabela_zamowienia[[#This Row],[ship_country]]</f>
        <v>Poland</v>
      </c>
      <c r="E155" s="13">
        <f>tabela_zamowienia[[#This Row],[order_value]]</f>
        <v>492.9</v>
      </c>
      <c r="F155" s="12" t="str">
        <f>tabela_zamowienia[[#This Row],[has_discount]]</f>
        <v>NIE</v>
      </c>
      <c r="G155" s="11" t="str">
        <f t="shared" si="6"/>
        <v>2024-10</v>
      </c>
      <c r="H155" s="12" t="str">
        <f>VLOOKUP(C155,tabela_klienci[[customer_id]:[country]],2,0)</f>
        <v>Poland</v>
      </c>
      <c r="I155" s="12" t="str">
        <f t="shared" si="7"/>
        <v>Kraj zgodny</v>
      </c>
      <c r="J155" s="16" t="str">
        <f t="shared" si="8"/>
        <v>Zamówienie standardowe</v>
      </c>
    </row>
    <row r="156" spans="1:10" x14ac:dyDescent="0.2">
      <c r="A156" s="15">
        <f>tabela_zamowienia[[#This Row],[order_id]]</f>
        <v>170</v>
      </c>
      <c r="B156" s="11">
        <f>tabela_zamowienia[[#This Row],[order_date]]</f>
        <v>45568</v>
      </c>
      <c r="C156" s="10">
        <f>tabela_zamowienia[[#This Row],[customer_id]]</f>
        <v>2</v>
      </c>
      <c r="D156" s="12" t="str">
        <f>tabela_zamowienia[[#This Row],[ship_country]]</f>
        <v>Poland</v>
      </c>
      <c r="E156" s="13">
        <f>tabela_zamowienia[[#This Row],[order_value]]</f>
        <v>747.5</v>
      </c>
      <c r="F156" s="12" t="str">
        <f>tabela_zamowienia[[#This Row],[has_discount]]</f>
        <v>NIE</v>
      </c>
      <c r="G156" s="11" t="str">
        <f t="shared" si="6"/>
        <v>2024-10</v>
      </c>
      <c r="H156" s="12" t="str">
        <f>VLOOKUP(C156,tabela_klienci[[customer_id]:[country]],2,0)</f>
        <v>Poland</v>
      </c>
      <c r="I156" s="12" t="str">
        <f t="shared" si="7"/>
        <v>Kraj zgodny</v>
      </c>
      <c r="J156" s="16" t="str">
        <f t="shared" si="8"/>
        <v>Zamówienie standardowe</v>
      </c>
    </row>
    <row r="157" spans="1:10" x14ac:dyDescent="0.2">
      <c r="A157" s="15">
        <f>tabela_zamowienia[[#This Row],[order_id]]</f>
        <v>171</v>
      </c>
      <c r="B157" s="11">
        <f>tabela_zamowienia[[#This Row],[order_date]]</f>
        <v>45570</v>
      </c>
      <c r="C157" s="10">
        <f>tabela_zamowienia[[#This Row],[customer_id]]</f>
        <v>3</v>
      </c>
      <c r="D157" s="12" t="str">
        <f>tabela_zamowienia[[#This Row],[ship_country]]</f>
        <v>USA</v>
      </c>
      <c r="E157" s="13">
        <f>tabela_zamowienia[[#This Row],[order_value]]</f>
        <v>1099.49</v>
      </c>
      <c r="F157" s="12" t="str">
        <f>tabela_zamowienia[[#This Row],[has_discount]]</f>
        <v>NIE</v>
      </c>
      <c r="G157" s="11" t="str">
        <f t="shared" si="6"/>
        <v>2024-10</v>
      </c>
      <c r="H157" s="12" t="str">
        <f>VLOOKUP(C157,tabela_klienci[[customer_id]:[country]],2,0)</f>
        <v>USA</v>
      </c>
      <c r="I157" s="12" t="str">
        <f t="shared" si="7"/>
        <v>Kraj zgodny</v>
      </c>
      <c r="J157" s="16" t="str">
        <f t="shared" si="8"/>
        <v>Zamówienie standardowe</v>
      </c>
    </row>
    <row r="158" spans="1:10" x14ac:dyDescent="0.2">
      <c r="A158" s="15">
        <f>tabela_zamowienia[[#This Row],[order_id]]</f>
        <v>172</v>
      </c>
      <c r="B158" s="11">
        <f>tabela_zamowienia[[#This Row],[order_date]]</f>
        <v>45572</v>
      </c>
      <c r="C158" s="10">
        <f>tabela_zamowienia[[#This Row],[customer_id]]</f>
        <v>4</v>
      </c>
      <c r="D158" s="12" t="str">
        <f>tabela_zamowienia[[#This Row],[ship_country]]</f>
        <v>USA</v>
      </c>
      <c r="E158" s="13">
        <f>tabela_zamowienia[[#This Row],[order_value]]</f>
        <v>5887.8</v>
      </c>
      <c r="F158" s="12" t="str">
        <f>tabela_zamowienia[[#This Row],[has_discount]]</f>
        <v>NIE</v>
      </c>
      <c r="G158" s="11" t="str">
        <f t="shared" si="6"/>
        <v>2024-10</v>
      </c>
      <c r="H158" s="12" t="str">
        <f>VLOOKUP(C158,tabela_klienci[[customer_id]:[country]],2,0)</f>
        <v>USA</v>
      </c>
      <c r="I158" s="12" t="str">
        <f t="shared" si="7"/>
        <v>Kraj zgodny</v>
      </c>
      <c r="J158" s="16" t="str">
        <f t="shared" si="8"/>
        <v>Zamówienie standardowe</v>
      </c>
    </row>
    <row r="159" spans="1:10" x14ac:dyDescent="0.2">
      <c r="A159" s="15">
        <f>tabela_zamowienia[[#This Row],[order_id]]</f>
        <v>173</v>
      </c>
      <c r="B159" s="11">
        <f>tabela_zamowienia[[#This Row],[order_date]]</f>
        <v>45574</v>
      </c>
      <c r="C159" s="10">
        <f>tabela_zamowienia[[#This Row],[customer_id]]</f>
        <v>5</v>
      </c>
      <c r="D159" s="12" t="str">
        <f>tabela_zamowienia[[#This Row],[ship_country]]</f>
        <v>Spain</v>
      </c>
      <c r="E159" s="13">
        <f>tabela_zamowienia[[#This Row],[order_value]]</f>
        <v>5128.99</v>
      </c>
      <c r="F159" s="12" t="str">
        <f>tabela_zamowienia[[#This Row],[has_discount]]</f>
        <v>NIE</v>
      </c>
      <c r="G159" s="11" t="str">
        <f t="shared" si="6"/>
        <v>2024-10</v>
      </c>
      <c r="H159" s="12" t="str">
        <f>VLOOKUP(C159,tabela_klienci[[customer_id]:[country]],2,0)</f>
        <v>Spain</v>
      </c>
      <c r="I159" s="12" t="str">
        <f t="shared" si="7"/>
        <v>Kraj zgodny</v>
      </c>
      <c r="J159" s="16" t="str">
        <f t="shared" si="8"/>
        <v>Zamówienie standardowe</v>
      </c>
    </row>
    <row r="160" spans="1:10" x14ac:dyDescent="0.2">
      <c r="A160" s="15">
        <f>tabela_zamowienia[[#This Row],[order_id]]</f>
        <v>174</v>
      </c>
      <c r="B160" s="11">
        <f>tabela_zamowienia[[#This Row],[order_date]]</f>
        <v>45576</v>
      </c>
      <c r="C160" s="10">
        <f>tabela_zamowienia[[#This Row],[customer_id]]</f>
        <v>6</v>
      </c>
      <c r="D160" s="12" t="str">
        <f>tabela_zamowienia[[#This Row],[ship_country]]</f>
        <v>UK</v>
      </c>
      <c r="E160" s="13">
        <f>tabela_zamowienia[[#This Row],[order_value]]</f>
        <v>513.9</v>
      </c>
      <c r="F160" s="12" t="str">
        <f>tabela_zamowienia[[#This Row],[has_discount]]</f>
        <v>NIE</v>
      </c>
      <c r="G160" s="11" t="str">
        <f t="shared" si="6"/>
        <v>2024-10</v>
      </c>
      <c r="H160" s="12" t="str">
        <f>VLOOKUP(C160,tabela_klienci[[customer_id]:[country]],2,0)</f>
        <v>UK</v>
      </c>
      <c r="I160" s="12" t="str">
        <f t="shared" si="7"/>
        <v>Kraj zgodny</v>
      </c>
      <c r="J160" s="16" t="str">
        <f t="shared" si="8"/>
        <v>Zamówienie standardowe</v>
      </c>
    </row>
    <row r="161" spans="1:10" x14ac:dyDescent="0.2">
      <c r="A161" s="15">
        <f>tabela_zamowienia[[#This Row],[order_id]]</f>
        <v>175</v>
      </c>
      <c r="B161" s="11">
        <f>tabela_zamowienia[[#This Row],[order_date]]</f>
        <v>45578</v>
      </c>
      <c r="C161" s="10">
        <f>tabela_zamowienia[[#This Row],[customer_id]]</f>
        <v>7</v>
      </c>
      <c r="D161" s="12" t="str">
        <f>tabela_zamowienia[[#This Row],[ship_country]]</f>
        <v>Canada</v>
      </c>
      <c r="E161" s="13">
        <f>tabela_zamowienia[[#This Row],[order_value]]</f>
        <v>50.99</v>
      </c>
      <c r="F161" s="12" t="str">
        <f>tabela_zamowienia[[#This Row],[has_discount]]</f>
        <v>NIE</v>
      </c>
      <c r="G161" s="11" t="str">
        <f t="shared" si="6"/>
        <v>2024-10</v>
      </c>
      <c r="H161" s="12" t="str">
        <f>VLOOKUP(C161,tabela_klienci[[customer_id]:[country]],2,0)</f>
        <v>Canada</v>
      </c>
      <c r="I161" s="12" t="str">
        <f t="shared" si="7"/>
        <v>Kraj zgodny</v>
      </c>
      <c r="J161" s="16" t="str">
        <f t="shared" si="8"/>
        <v>Zamówienie z rabatem lub niskiej wartości</v>
      </c>
    </row>
    <row r="162" spans="1:10" x14ac:dyDescent="0.2">
      <c r="A162" s="15">
        <f>tabela_zamowienia[[#This Row],[order_id]]</f>
        <v>176</v>
      </c>
      <c r="B162" s="11">
        <f>tabela_zamowienia[[#This Row],[order_date]]</f>
        <v>45580</v>
      </c>
      <c r="C162" s="10">
        <f>tabela_zamowienia[[#This Row],[customer_id]]</f>
        <v>8</v>
      </c>
      <c r="D162" s="12" t="str">
        <f>tabela_zamowienia[[#This Row],[ship_country]]</f>
        <v>Poland</v>
      </c>
      <c r="E162" s="13">
        <f>tabela_zamowienia[[#This Row],[order_value]]</f>
        <v>5328.99</v>
      </c>
      <c r="F162" s="12" t="str">
        <f>tabela_zamowienia[[#This Row],[has_discount]]</f>
        <v>NIE</v>
      </c>
      <c r="G162" s="11" t="str">
        <f t="shared" si="6"/>
        <v>2024-10</v>
      </c>
      <c r="H162" s="12" t="str">
        <f>VLOOKUP(C162,tabela_klienci[[customer_id]:[country]],2,0)</f>
        <v>Poland</v>
      </c>
      <c r="I162" s="12" t="str">
        <f t="shared" si="7"/>
        <v>Kraj zgodny</v>
      </c>
      <c r="J162" s="16" t="str">
        <f t="shared" si="8"/>
        <v>Zamówienie standardowe</v>
      </c>
    </row>
    <row r="163" spans="1:10" x14ac:dyDescent="0.2">
      <c r="A163" s="15">
        <f>tabela_zamowienia[[#This Row],[order_id]]</f>
        <v>177</v>
      </c>
      <c r="B163" s="11">
        <f>tabela_zamowienia[[#This Row],[order_date]]</f>
        <v>45582</v>
      </c>
      <c r="C163" s="10">
        <f>tabela_zamowienia[[#This Row],[customer_id]]</f>
        <v>9</v>
      </c>
      <c r="D163" s="12" t="str">
        <f>tabela_zamowienia[[#This Row],[ship_country]]</f>
        <v>Poland</v>
      </c>
      <c r="E163" s="13">
        <f>tabela_zamowienia[[#This Row],[order_value]]</f>
        <v>108.5</v>
      </c>
      <c r="F163" s="12" t="str">
        <f>tabela_zamowienia[[#This Row],[has_discount]]</f>
        <v>NIE</v>
      </c>
      <c r="G163" s="11" t="str">
        <f t="shared" si="6"/>
        <v>2024-10</v>
      </c>
      <c r="H163" s="12" t="str">
        <f>VLOOKUP(C163,tabela_klienci[[customer_id]:[country]],2,0)</f>
        <v>Poland</v>
      </c>
      <c r="I163" s="12" t="str">
        <f t="shared" si="7"/>
        <v>Kraj zgodny</v>
      </c>
      <c r="J163" s="16" t="str">
        <f t="shared" si="8"/>
        <v>Zamówienie standardowe</v>
      </c>
    </row>
    <row r="164" spans="1:10" x14ac:dyDescent="0.2">
      <c r="A164" s="15">
        <f>tabela_zamowienia[[#This Row],[order_id]]</f>
        <v>178</v>
      </c>
      <c r="B164" s="11">
        <f>tabela_zamowienia[[#This Row],[order_date]]</f>
        <v>45584</v>
      </c>
      <c r="C164" s="10">
        <f>tabela_zamowienia[[#This Row],[customer_id]]</f>
        <v>10</v>
      </c>
      <c r="D164" s="12" t="str">
        <f>tabela_zamowienia[[#This Row],[ship_country]]</f>
        <v>Spain</v>
      </c>
      <c r="E164" s="13">
        <f>tabela_zamowienia[[#This Row],[order_value]]</f>
        <v>978.99</v>
      </c>
      <c r="F164" s="12" t="str">
        <f>tabela_zamowienia[[#This Row],[has_discount]]</f>
        <v>NIE</v>
      </c>
      <c r="G164" s="11" t="str">
        <f t="shared" si="6"/>
        <v>2024-10</v>
      </c>
      <c r="H164" s="12" t="str">
        <f>VLOOKUP(C164,tabela_klienci[[customer_id]:[country]],2,0)</f>
        <v>Spain</v>
      </c>
      <c r="I164" s="12" t="str">
        <f t="shared" si="7"/>
        <v>Kraj zgodny</v>
      </c>
      <c r="J164" s="16" t="str">
        <f t="shared" si="8"/>
        <v>Zamówienie standardowe</v>
      </c>
    </row>
    <row r="165" spans="1:10" x14ac:dyDescent="0.2">
      <c r="A165" s="15">
        <f>tabela_zamowienia[[#This Row],[order_id]]</f>
        <v>179</v>
      </c>
      <c r="B165" s="11">
        <f>tabela_zamowienia[[#This Row],[order_date]]</f>
        <v>45601</v>
      </c>
      <c r="C165" s="10">
        <f>tabela_zamowienia[[#This Row],[customer_id]]</f>
        <v>11</v>
      </c>
      <c r="D165" s="12" t="str">
        <f>tabela_zamowienia[[#This Row],[ship_country]]</f>
        <v>Portugal</v>
      </c>
      <c r="E165" s="13">
        <f>tabela_zamowienia[[#This Row],[order_value]]</f>
        <v>1207.49</v>
      </c>
      <c r="F165" s="12" t="str">
        <f>tabela_zamowienia[[#This Row],[has_discount]]</f>
        <v>NIE</v>
      </c>
      <c r="G165" s="11" t="str">
        <f t="shared" si="6"/>
        <v>2024-11</v>
      </c>
      <c r="H165" s="12" t="str">
        <f>VLOOKUP(C165,tabela_klienci[[customer_id]:[country]],2,0)</f>
        <v>Portugal</v>
      </c>
      <c r="I165" s="12" t="str">
        <f t="shared" si="7"/>
        <v>Kraj zgodny</v>
      </c>
      <c r="J165" s="16" t="str">
        <f t="shared" si="8"/>
        <v>Zamówienie standardowe</v>
      </c>
    </row>
    <row r="166" spans="1:10" x14ac:dyDescent="0.2">
      <c r="A166" s="15">
        <f>tabela_zamowienia[[#This Row],[order_id]]</f>
        <v>180</v>
      </c>
      <c r="B166" s="11">
        <f>tabela_zamowienia[[#This Row],[order_date]]</f>
        <v>45604</v>
      </c>
      <c r="C166" s="10">
        <f>tabela_zamowienia[[#This Row],[customer_id]]</f>
        <v>12</v>
      </c>
      <c r="D166" s="12" t="str">
        <f>tabela_zamowienia[[#This Row],[ship_country]]</f>
        <v>USA</v>
      </c>
      <c r="E166" s="13">
        <f>tabela_zamowienia[[#This Row],[order_value]]</f>
        <v>89.5</v>
      </c>
      <c r="F166" s="12" t="str">
        <f>tabela_zamowienia[[#This Row],[has_discount]]</f>
        <v>NIE</v>
      </c>
      <c r="G166" s="11" t="str">
        <f t="shared" si="6"/>
        <v>2024-11</v>
      </c>
      <c r="H166" s="12" t="str">
        <f>VLOOKUP(C166,tabela_klienci[[customer_id]:[country]],2,0)</f>
        <v>USA</v>
      </c>
      <c r="I166" s="12" t="str">
        <f t="shared" si="7"/>
        <v>Kraj zgodny</v>
      </c>
      <c r="J166" s="16" t="str">
        <f t="shared" si="8"/>
        <v>Zamówienie z rabatem lub niskiej wartości</v>
      </c>
    </row>
    <row r="167" spans="1:10" x14ac:dyDescent="0.2">
      <c r="A167" s="15">
        <f>tabela_zamowienia[[#This Row],[order_id]]</f>
        <v>181</v>
      </c>
      <c r="B167" s="11">
        <f>tabela_zamowienia[[#This Row],[order_date]]</f>
        <v>45607</v>
      </c>
      <c r="C167" s="10">
        <f>tabela_zamowienia[[#This Row],[customer_id]]</f>
        <v>13</v>
      </c>
      <c r="D167" s="12" t="str">
        <f>tabela_zamowienia[[#This Row],[ship_country]]</f>
        <v>UK</v>
      </c>
      <c r="E167" s="13">
        <f>tabela_zamowienia[[#This Row],[order_value]]</f>
        <v>2314.1799999999998</v>
      </c>
      <c r="F167" s="12" t="str">
        <f>tabela_zamowienia[[#This Row],[has_discount]]</f>
        <v>TAK</v>
      </c>
      <c r="G167" s="11" t="str">
        <f t="shared" si="6"/>
        <v>2024-11</v>
      </c>
      <c r="H167" s="12" t="str">
        <f>VLOOKUP(C167,tabela_klienci[[customer_id]:[country]],2,0)</f>
        <v>UK</v>
      </c>
      <c r="I167" s="12" t="str">
        <f t="shared" si="7"/>
        <v>Kraj zgodny</v>
      </c>
      <c r="J167" s="16" t="str">
        <f t="shared" si="8"/>
        <v>Zamówienie z rabatem lub niskiej wartości</v>
      </c>
    </row>
    <row r="168" spans="1:10" x14ac:dyDescent="0.2">
      <c r="A168" s="15">
        <f>tabela_zamowienia[[#This Row],[order_id]]</f>
        <v>182</v>
      </c>
      <c r="B168" s="11">
        <f>tabela_zamowienia[[#This Row],[order_date]]</f>
        <v>45611</v>
      </c>
      <c r="C168" s="10">
        <f>tabela_zamowienia[[#This Row],[customer_id]]</f>
        <v>14</v>
      </c>
      <c r="D168" s="12" t="str">
        <f>tabela_zamowienia[[#This Row],[ship_country]]</f>
        <v>UK</v>
      </c>
      <c r="E168" s="13">
        <f>tabela_zamowienia[[#This Row],[order_value]]</f>
        <v>5036.2</v>
      </c>
      <c r="F168" s="12" t="str">
        <f>tabela_zamowienia[[#This Row],[has_discount]]</f>
        <v>TAK</v>
      </c>
      <c r="G168" s="11" t="str">
        <f t="shared" si="6"/>
        <v>2024-11</v>
      </c>
      <c r="H168" s="12" t="str">
        <f>VLOOKUP(C168,tabela_klienci[[customer_id]:[country]],2,0)</f>
        <v>UK</v>
      </c>
      <c r="I168" s="12" t="str">
        <f t="shared" si="7"/>
        <v>Kraj zgodny</v>
      </c>
      <c r="J168" s="16" t="str">
        <f t="shared" si="8"/>
        <v>Zamówienie z rabatem lub niskiej wartości</v>
      </c>
    </row>
    <row r="169" spans="1:10" x14ac:dyDescent="0.2">
      <c r="A169" s="15">
        <f>tabela_zamowienia[[#This Row],[order_id]]</f>
        <v>183</v>
      </c>
      <c r="B169" s="11">
        <f>tabela_zamowienia[[#This Row],[order_date]]</f>
        <v>45616</v>
      </c>
      <c r="C169" s="10">
        <f>tabela_zamowienia[[#This Row],[customer_id]]</f>
        <v>15</v>
      </c>
      <c r="D169" s="12" t="str">
        <f>tabela_zamowienia[[#This Row],[ship_country]]</f>
        <v>USA</v>
      </c>
      <c r="E169" s="13">
        <f>tabela_zamowienia[[#This Row],[order_value]]</f>
        <v>339.15</v>
      </c>
      <c r="F169" s="12" t="str">
        <f>tabela_zamowienia[[#This Row],[has_discount]]</f>
        <v>TAK</v>
      </c>
      <c r="G169" s="11" t="str">
        <f t="shared" si="6"/>
        <v>2024-11</v>
      </c>
      <c r="H169" s="12" t="str">
        <f>VLOOKUP(C169,tabela_klienci[[customer_id]:[country]],2,0)</f>
        <v>USA</v>
      </c>
      <c r="I169" s="12" t="str">
        <f t="shared" si="7"/>
        <v>Kraj zgodny</v>
      </c>
      <c r="J169" s="16" t="str">
        <f t="shared" si="8"/>
        <v>Zamówienie z rabatem lub niskiej wartości</v>
      </c>
    </row>
    <row r="170" spans="1:10" x14ac:dyDescent="0.2">
      <c r="A170" s="15">
        <f>tabela_zamowienia[[#This Row],[order_id]]</f>
        <v>184</v>
      </c>
      <c r="B170" s="11">
        <f>tabela_zamowienia[[#This Row],[order_date]]</f>
        <v>45628</v>
      </c>
      <c r="C170" s="10">
        <f>tabela_zamowienia[[#This Row],[customer_id]]</f>
        <v>16</v>
      </c>
      <c r="D170" s="12" t="str">
        <f>tabela_zamowienia[[#This Row],[ship_country]]</f>
        <v>France</v>
      </c>
      <c r="E170" s="13">
        <f>tabela_zamowienia[[#This Row],[order_value]]</f>
        <v>2707.98</v>
      </c>
      <c r="F170" s="12" t="str">
        <f>tabela_zamowienia[[#This Row],[has_discount]]</f>
        <v>NIE</v>
      </c>
      <c r="G170" s="11" t="str">
        <f t="shared" si="6"/>
        <v>2024-12</v>
      </c>
      <c r="H170" s="12" t="str">
        <f>VLOOKUP(C170,tabela_klienci[[customer_id]:[country]],2,0)</f>
        <v>France</v>
      </c>
      <c r="I170" s="12" t="str">
        <f t="shared" si="7"/>
        <v>Kraj zgodny</v>
      </c>
      <c r="J170" s="16" t="str">
        <f t="shared" si="8"/>
        <v>Zamówienie standardowe</v>
      </c>
    </row>
    <row r="171" spans="1:10" x14ac:dyDescent="0.2">
      <c r="A171" s="15">
        <f>tabela_zamowienia[[#This Row],[order_id]]</f>
        <v>185</v>
      </c>
      <c r="B171" s="11">
        <f>tabela_zamowienia[[#This Row],[order_date]]</f>
        <v>45631</v>
      </c>
      <c r="C171" s="10">
        <f>tabela_zamowienia[[#This Row],[customer_id]]</f>
        <v>17</v>
      </c>
      <c r="D171" s="12" t="str">
        <f>tabela_zamowienia[[#This Row],[ship_country]]</f>
        <v>Canada</v>
      </c>
      <c r="E171" s="13">
        <f>tabela_zamowienia[[#This Row],[order_value]]</f>
        <v>547.9</v>
      </c>
      <c r="F171" s="12" t="str">
        <f>tabela_zamowienia[[#This Row],[has_discount]]</f>
        <v>NIE</v>
      </c>
      <c r="G171" s="11" t="str">
        <f t="shared" si="6"/>
        <v>2024-12</v>
      </c>
      <c r="H171" s="12" t="str">
        <f>VLOOKUP(C171,tabela_klienci[[customer_id]:[country]],2,0)</f>
        <v>Canada</v>
      </c>
      <c r="I171" s="12" t="str">
        <f t="shared" si="7"/>
        <v>Kraj zgodny</v>
      </c>
      <c r="J171" s="16" t="str">
        <f t="shared" si="8"/>
        <v>Zamówienie standardowe</v>
      </c>
    </row>
    <row r="172" spans="1:10" x14ac:dyDescent="0.2">
      <c r="A172" s="15">
        <f>tabela_zamowienia[[#This Row],[order_id]]</f>
        <v>186</v>
      </c>
      <c r="B172" s="11">
        <f>tabela_zamowienia[[#This Row],[order_date]]</f>
        <v>45634</v>
      </c>
      <c r="C172" s="10">
        <f>tabela_zamowienia[[#This Row],[customer_id]]</f>
        <v>18</v>
      </c>
      <c r="D172" s="12" t="str">
        <f>tabela_zamowienia[[#This Row],[ship_country]]</f>
        <v>Spain</v>
      </c>
      <c r="E172" s="13">
        <f>tabela_zamowienia[[#This Row],[order_value]]</f>
        <v>458.89</v>
      </c>
      <c r="F172" s="12" t="str">
        <f>tabela_zamowienia[[#This Row],[has_discount]]</f>
        <v>NIE</v>
      </c>
      <c r="G172" s="11" t="str">
        <f t="shared" si="6"/>
        <v>2024-12</v>
      </c>
      <c r="H172" s="12" t="str">
        <f>VLOOKUP(C172,tabela_klienci[[customer_id]:[country]],2,0)</f>
        <v>Spain</v>
      </c>
      <c r="I172" s="12" t="str">
        <f t="shared" si="7"/>
        <v>Kraj zgodny</v>
      </c>
      <c r="J172" s="16" t="str">
        <f t="shared" si="8"/>
        <v>Zamówienie standardowe</v>
      </c>
    </row>
    <row r="173" spans="1:10" x14ac:dyDescent="0.2">
      <c r="A173" s="15">
        <f>tabela_zamowienia[[#This Row],[order_id]]</f>
        <v>187</v>
      </c>
      <c r="B173" s="11">
        <f>tabela_zamowienia[[#This Row],[order_date]]</f>
        <v>45638</v>
      </c>
      <c r="C173" s="10">
        <f>tabela_zamowienia[[#This Row],[customer_id]]</f>
        <v>19</v>
      </c>
      <c r="D173" s="12" t="str">
        <f>tabela_zamowienia[[#This Row],[ship_country]]</f>
        <v>South Korea</v>
      </c>
      <c r="E173" s="13">
        <f>tabela_zamowienia[[#This Row],[order_value]]</f>
        <v>1346.5</v>
      </c>
      <c r="F173" s="12" t="str">
        <f>tabela_zamowienia[[#This Row],[has_discount]]</f>
        <v>NIE</v>
      </c>
      <c r="G173" s="11" t="str">
        <f t="shared" si="6"/>
        <v>2024-12</v>
      </c>
      <c r="H173" s="12" t="str">
        <f>VLOOKUP(C173,tabela_klienci[[customer_id]:[country]],2,0)</f>
        <v>South Korea</v>
      </c>
      <c r="I173" s="12" t="str">
        <f t="shared" si="7"/>
        <v>Kraj zgodny</v>
      </c>
      <c r="J173" s="16" t="str">
        <f t="shared" si="8"/>
        <v>Zamówienie standardowe</v>
      </c>
    </row>
    <row r="174" spans="1:10" x14ac:dyDescent="0.2">
      <c r="A174" s="15">
        <f>tabela_zamowienia[[#This Row],[order_id]]</f>
        <v>188</v>
      </c>
      <c r="B174" s="11">
        <f>tabela_zamowienia[[#This Row],[order_date]]</f>
        <v>45644</v>
      </c>
      <c r="C174" s="10">
        <f>tabela_zamowienia[[#This Row],[customer_id]]</f>
        <v>20</v>
      </c>
      <c r="D174" s="12" t="str">
        <f>tabela_zamowienia[[#This Row],[ship_country]]</f>
        <v>UK</v>
      </c>
      <c r="E174" s="13">
        <f>tabela_zamowienia[[#This Row],[order_value]]</f>
        <v>568.98</v>
      </c>
      <c r="F174" s="12" t="str">
        <f>tabela_zamowienia[[#This Row],[has_discount]]</f>
        <v>NIE</v>
      </c>
      <c r="G174" s="11" t="str">
        <f t="shared" si="6"/>
        <v>2024-12</v>
      </c>
      <c r="H174" s="12" t="str">
        <f>VLOOKUP(C174,tabela_klienci[[customer_id]:[country]],2,0)</f>
        <v>UK</v>
      </c>
      <c r="I174" s="12" t="str">
        <f t="shared" si="7"/>
        <v>Kraj zgodny</v>
      </c>
      <c r="J174" s="16" t="str">
        <f t="shared" si="8"/>
        <v>Zamówienie standardowe</v>
      </c>
    </row>
    <row r="175" spans="1:10" x14ac:dyDescent="0.2">
      <c r="A175" s="15">
        <f>tabela_zamowienia[[#This Row],[order_id]]</f>
        <v>189</v>
      </c>
      <c r="B175" s="11">
        <f>tabela_zamowienia[[#This Row],[order_date]]</f>
        <v>45646</v>
      </c>
      <c r="C175" s="10">
        <f>tabela_zamowienia[[#This Row],[customer_id]]</f>
        <v>21</v>
      </c>
      <c r="D175" s="12" t="str">
        <f>tabela_zamowienia[[#This Row],[ship_country]]</f>
        <v>USA</v>
      </c>
      <c r="E175" s="13">
        <f>tabela_zamowienia[[#This Row],[order_value]]</f>
        <v>406.5</v>
      </c>
      <c r="F175" s="12" t="str">
        <f>tabela_zamowienia[[#This Row],[has_discount]]</f>
        <v>NIE</v>
      </c>
      <c r="G175" s="11" t="str">
        <f t="shared" si="6"/>
        <v>2024-12</v>
      </c>
      <c r="H175" s="12" t="str">
        <f>VLOOKUP(C175,tabela_klienci[[customer_id]:[country]],2,0)</f>
        <v>USA</v>
      </c>
      <c r="I175" s="12" t="str">
        <f t="shared" si="7"/>
        <v>Kraj zgodny</v>
      </c>
      <c r="J175" s="16" t="str">
        <f t="shared" si="8"/>
        <v>Zamówienie standardowe</v>
      </c>
    </row>
    <row r="176" spans="1:10" x14ac:dyDescent="0.2">
      <c r="A176" s="15">
        <f>tabela_zamowienia[[#This Row],[order_id]]</f>
        <v>190</v>
      </c>
      <c r="B176" s="11">
        <f>tabela_zamowienia[[#This Row],[order_date]]</f>
        <v>45647</v>
      </c>
      <c r="C176" s="10">
        <f>tabela_zamowienia[[#This Row],[customer_id]]</f>
        <v>22</v>
      </c>
      <c r="D176" s="12" t="str">
        <f>tabela_zamowienia[[#This Row],[ship_country]]</f>
        <v>Poland</v>
      </c>
      <c r="E176" s="13">
        <f>tabela_zamowienia[[#This Row],[order_value]]</f>
        <v>4999</v>
      </c>
      <c r="F176" s="12" t="str">
        <f>tabela_zamowienia[[#This Row],[has_discount]]</f>
        <v>NIE</v>
      </c>
      <c r="G176" s="11" t="str">
        <f t="shared" si="6"/>
        <v>2024-12</v>
      </c>
      <c r="H176" s="12" t="str">
        <f>VLOOKUP(C176,tabela_klienci[[customer_id]:[country]],2,0)</f>
        <v>Poland</v>
      </c>
      <c r="I176" s="12" t="str">
        <f t="shared" si="7"/>
        <v>Kraj zgodny</v>
      </c>
      <c r="J176" s="16" t="str">
        <f t="shared" si="8"/>
        <v>Zamówienie standardowe</v>
      </c>
    </row>
    <row r="177" spans="1:10" x14ac:dyDescent="0.2">
      <c r="A177" s="15">
        <f>tabela_zamowienia[[#This Row],[order_id]]</f>
        <v>191</v>
      </c>
      <c r="B177" s="11">
        <f>tabela_zamowienia[[#This Row],[order_date]]</f>
        <v>45648</v>
      </c>
      <c r="C177" s="10">
        <f>tabela_zamowienia[[#This Row],[customer_id]]</f>
        <v>23</v>
      </c>
      <c r="D177" s="12" t="str">
        <f>tabela_zamowienia[[#This Row],[ship_country]]</f>
        <v>Spain</v>
      </c>
      <c r="E177" s="13">
        <f>tabela_zamowienia[[#This Row],[order_value]]</f>
        <v>1448.49</v>
      </c>
      <c r="F177" s="12" t="str">
        <f>tabela_zamowienia[[#This Row],[has_discount]]</f>
        <v>NIE</v>
      </c>
      <c r="G177" s="11" t="str">
        <f t="shared" si="6"/>
        <v>2024-12</v>
      </c>
      <c r="H177" s="12" t="str">
        <f>VLOOKUP(C177,tabela_klienci[[customer_id]:[country]],2,0)</f>
        <v>Spain</v>
      </c>
      <c r="I177" s="12" t="str">
        <f t="shared" si="7"/>
        <v>Kraj zgodny</v>
      </c>
      <c r="J177" s="16" t="str">
        <f t="shared" si="8"/>
        <v>Zamówienie standardowe</v>
      </c>
    </row>
    <row r="178" spans="1:10" x14ac:dyDescent="0.2">
      <c r="A178" s="15">
        <f>tabela_zamowienia[[#This Row],[order_id]]</f>
        <v>192</v>
      </c>
      <c r="B178" s="11">
        <f>tabela_zamowienia[[#This Row],[order_date]]</f>
        <v>45649</v>
      </c>
      <c r="C178" s="10">
        <f>tabela_zamowienia[[#This Row],[customer_id]]</f>
        <v>24</v>
      </c>
      <c r="D178" s="12" t="str">
        <f>tabela_zamowienia[[#This Row],[ship_country]]</f>
        <v>Poland</v>
      </c>
      <c r="E178" s="13">
        <f>tabela_zamowienia[[#This Row],[order_value]]</f>
        <v>697.9</v>
      </c>
      <c r="F178" s="12" t="str">
        <f>tabela_zamowienia[[#This Row],[has_discount]]</f>
        <v>NIE</v>
      </c>
      <c r="G178" s="11" t="str">
        <f t="shared" si="6"/>
        <v>2024-12</v>
      </c>
      <c r="H178" s="12" t="str">
        <f>VLOOKUP(C178,tabela_klienci[[customer_id]:[country]],2,0)</f>
        <v>Poland</v>
      </c>
      <c r="I178" s="12" t="str">
        <f t="shared" si="7"/>
        <v>Kraj zgodny</v>
      </c>
      <c r="J178" s="16" t="str">
        <f t="shared" si="8"/>
        <v>Zamówienie standardowe</v>
      </c>
    </row>
    <row r="179" spans="1:10" x14ac:dyDescent="0.2">
      <c r="A179" s="15">
        <f>tabela_zamowienia[[#This Row],[order_id]]</f>
        <v>193</v>
      </c>
      <c r="B179" s="11">
        <f>tabela_zamowienia[[#This Row],[order_date]]</f>
        <v>45653</v>
      </c>
      <c r="C179" s="10">
        <f>tabela_zamowienia[[#This Row],[customer_id]]</f>
        <v>25</v>
      </c>
      <c r="D179" s="12" t="str">
        <f>tabela_zamowienia[[#This Row],[ship_country]]</f>
        <v>Poland</v>
      </c>
      <c r="E179" s="13">
        <f>tabela_zamowienia[[#This Row],[order_value]]</f>
        <v>553.79</v>
      </c>
      <c r="F179" s="12" t="str">
        <f>tabela_zamowienia[[#This Row],[has_discount]]</f>
        <v>NIE</v>
      </c>
      <c r="G179" s="11" t="str">
        <f t="shared" si="6"/>
        <v>2024-12</v>
      </c>
      <c r="H179" s="12" t="str">
        <f>VLOOKUP(C179,tabela_klienci[[customer_id]:[country]],2,0)</f>
        <v>Poland</v>
      </c>
      <c r="I179" s="12" t="str">
        <f t="shared" si="7"/>
        <v>Kraj zgodny</v>
      </c>
      <c r="J179" s="16" t="str">
        <f t="shared" si="8"/>
        <v>Zamówienie standardowe</v>
      </c>
    </row>
    <row r="180" spans="1:10" x14ac:dyDescent="0.2">
      <c r="A180" s="15">
        <f>tabela_zamowienia[[#This Row],[order_id]]</f>
        <v>194</v>
      </c>
      <c r="B180" s="11">
        <f>tabela_zamowienia[[#This Row],[order_date]]</f>
        <v>45654</v>
      </c>
      <c r="C180" s="10">
        <f>tabela_zamowienia[[#This Row],[customer_id]]</f>
        <v>26</v>
      </c>
      <c r="D180" s="12" t="str">
        <f>tabela_zamowienia[[#This Row],[ship_country]]</f>
        <v>Germany</v>
      </c>
      <c r="E180" s="13">
        <f>tabela_zamowienia[[#This Row],[order_value]]</f>
        <v>89.5</v>
      </c>
      <c r="F180" s="12" t="str">
        <f>tabela_zamowienia[[#This Row],[has_discount]]</f>
        <v>NIE</v>
      </c>
      <c r="G180" s="11" t="str">
        <f t="shared" si="6"/>
        <v>2024-12</v>
      </c>
      <c r="H180" s="12" t="str">
        <f>VLOOKUP(C180,tabela_klienci[[customer_id]:[country]],2,0)</f>
        <v>Germany</v>
      </c>
      <c r="I180" s="12" t="str">
        <f t="shared" si="7"/>
        <v>Kraj zgodny</v>
      </c>
      <c r="J180" s="16" t="str">
        <f t="shared" si="8"/>
        <v>Zamówienie z rabatem lub niskiej wartości</v>
      </c>
    </row>
    <row r="181" spans="1:10" x14ac:dyDescent="0.2">
      <c r="A181" s="15">
        <f>tabela_zamowienia[[#This Row],[order_id]]</f>
        <v>195</v>
      </c>
      <c r="B181" s="11">
        <f>tabela_zamowienia[[#This Row],[order_date]]</f>
        <v>45654</v>
      </c>
      <c r="C181" s="10">
        <f>tabela_zamowienia[[#This Row],[customer_id]]</f>
        <v>27</v>
      </c>
      <c r="D181" s="12" t="str">
        <f>tabela_zamowienia[[#This Row],[ship_country]]</f>
        <v>USA</v>
      </c>
      <c r="E181" s="13">
        <f>tabela_zamowienia[[#This Row],[order_value]]</f>
        <v>528</v>
      </c>
      <c r="F181" s="12" t="str">
        <f>tabela_zamowienia[[#This Row],[has_discount]]</f>
        <v>NIE</v>
      </c>
      <c r="G181" s="11" t="str">
        <f t="shared" si="6"/>
        <v>2024-12</v>
      </c>
      <c r="H181" s="12" t="str">
        <f>VLOOKUP(C181,tabela_klienci[[customer_id]:[country]],2,0)</f>
        <v>USA</v>
      </c>
      <c r="I181" s="12" t="str">
        <f t="shared" si="7"/>
        <v>Kraj zgodny</v>
      </c>
      <c r="J181" s="16" t="str">
        <f t="shared" si="8"/>
        <v>Zamówienie standardowe</v>
      </c>
    </row>
    <row r="182" spans="1:10" x14ac:dyDescent="0.2">
      <c r="A182" s="15">
        <f>tabela_zamowienia[[#This Row],[order_id]]</f>
        <v>196</v>
      </c>
      <c r="B182" s="11">
        <f>tabela_zamowienia[[#This Row],[order_date]]</f>
        <v>45655</v>
      </c>
      <c r="C182" s="10">
        <f>tabela_zamowienia[[#This Row],[customer_id]]</f>
        <v>28</v>
      </c>
      <c r="D182" s="12" t="str">
        <f>tabela_zamowienia[[#This Row],[ship_country]]</f>
        <v>USA</v>
      </c>
      <c r="E182" s="13">
        <f>tabela_zamowienia[[#This Row],[order_value]]</f>
        <v>188.3</v>
      </c>
      <c r="F182" s="12" t="str">
        <f>tabela_zamowienia[[#This Row],[has_discount]]</f>
        <v>NIE</v>
      </c>
      <c r="G182" s="11" t="str">
        <f t="shared" si="6"/>
        <v>2024-12</v>
      </c>
      <c r="H182" s="12" t="str">
        <f>VLOOKUP(C182,tabela_klienci[[customer_id]:[country]],2,0)</f>
        <v>USA</v>
      </c>
      <c r="I182" s="12" t="str">
        <f t="shared" si="7"/>
        <v>Kraj zgodny</v>
      </c>
      <c r="J182" s="16" t="str">
        <f t="shared" si="8"/>
        <v>Zamówienie standardowe</v>
      </c>
    </row>
    <row r="183" spans="1:10" x14ac:dyDescent="0.2">
      <c r="A183" s="15">
        <f>tabela_zamowienia[[#This Row],[order_id]]</f>
        <v>197</v>
      </c>
      <c r="B183" s="11">
        <f>tabela_zamowienia[[#This Row],[order_date]]</f>
        <v>45655</v>
      </c>
      <c r="C183" s="10">
        <f>tabela_zamowienia[[#This Row],[customer_id]]</f>
        <v>29</v>
      </c>
      <c r="D183" s="12" t="str">
        <f>tabela_zamowienia[[#This Row],[ship_country]]</f>
        <v>USA</v>
      </c>
      <c r="E183" s="13">
        <f>tabela_zamowienia[[#This Row],[order_value]]</f>
        <v>506.9</v>
      </c>
      <c r="F183" s="12" t="str">
        <f>tabela_zamowienia[[#This Row],[has_discount]]</f>
        <v>NIE</v>
      </c>
      <c r="G183" s="11" t="str">
        <f t="shared" si="6"/>
        <v>2024-12</v>
      </c>
      <c r="H183" s="12" t="str">
        <f>VLOOKUP(C183,tabela_klienci[[customer_id]:[country]],2,0)</f>
        <v>USA</v>
      </c>
      <c r="I183" s="12" t="str">
        <f t="shared" si="7"/>
        <v>Kraj zgodny</v>
      </c>
      <c r="J183" s="16" t="str">
        <f t="shared" si="8"/>
        <v>Zamówienie standardowe</v>
      </c>
    </row>
    <row r="184" spans="1:10" x14ac:dyDescent="0.2">
      <c r="A184" s="15">
        <f>tabela_zamowienia[[#This Row],[order_id]]</f>
        <v>198</v>
      </c>
      <c r="B184" s="11">
        <f>tabela_zamowienia[[#This Row],[order_date]]</f>
        <v>45656</v>
      </c>
      <c r="C184" s="10">
        <f>tabela_zamowienia[[#This Row],[customer_id]]</f>
        <v>30</v>
      </c>
      <c r="D184" s="12" t="str">
        <f>tabela_zamowienia[[#This Row],[ship_country]]</f>
        <v>Italy</v>
      </c>
      <c r="E184" s="13">
        <f>tabela_zamowienia[[#This Row],[order_value]]</f>
        <v>1078.49</v>
      </c>
      <c r="F184" s="12" t="str">
        <f>tabela_zamowienia[[#This Row],[has_discount]]</f>
        <v>NIE</v>
      </c>
      <c r="G184" s="11" t="str">
        <f t="shared" si="6"/>
        <v>2024-12</v>
      </c>
      <c r="H184" s="12" t="str">
        <f>VLOOKUP(C184,tabela_klienci[[customer_id]:[country]],2,0)</f>
        <v>USA</v>
      </c>
      <c r="I184" s="12" t="str">
        <f t="shared" si="7"/>
        <v>Wysyłka za granicę</v>
      </c>
      <c r="J184" s="16" t="str">
        <f t="shared" si="8"/>
        <v>Zamówienie standardowe</v>
      </c>
    </row>
    <row r="185" spans="1:10" x14ac:dyDescent="0.2">
      <c r="A185" s="15">
        <f>tabela_zamowienia[[#This Row],[order_id]]</f>
        <v>199</v>
      </c>
      <c r="B185" s="11">
        <f>tabela_zamowienia[[#This Row],[order_date]]</f>
        <v>45656</v>
      </c>
      <c r="C185" s="10">
        <f>tabela_zamowienia[[#This Row],[customer_id]]</f>
        <v>31</v>
      </c>
      <c r="D185" s="12" t="str">
        <f>tabela_zamowienia[[#This Row],[ship_country]]</f>
        <v>Poland</v>
      </c>
      <c r="E185" s="13">
        <f>tabela_zamowienia[[#This Row],[order_value]]</f>
        <v>6327.99</v>
      </c>
      <c r="F185" s="12" t="str">
        <f>tabela_zamowienia[[#This Row],[has_discount]]</f>
        <v>NIE</v>
      </c>
      <c r="G185" s="11" t="str">
        <f t="shared" si="6"/>
        <v>2024-12</v>
      </c>
      <c r="H185" s="12" t="str">
        <f>VLOOKUP(C185,tabela_klienci[[customer_id]:[country]],2,0)</f>
        <v>Italy</v>
      </c>
      <c r="I185" s="12" t="str">
        <f t="shared" si="7"/>
        <v>Wysyłka za granicę</v>
      </c>
      <c r="J185" s="16" t="str">
        <f t="shared" si="8"/>
        <v>Zamówienie standardowe</v>
      </c>
    </row>
    <row r="186" spans="1:10" x14ac:dyDescent="0.2">
      <c r="A186" s="17">
        <f>tabela_zamowienia[[#This Row],[order_id]]</f>
        <v>200</v>
      </c>
      <c r="B186" s="18">
        <f>tabela_zamowienia[[#This Row],[order_date]]</f>
        <v>45657</v>
      </c>
      <c r="C186" s="19">
        <f>tabela_zamowienia[[#This Row],[customer_id]]</f>
        <v>32</v>
      </c>
      <c r="D186" s="20" t="str">
        <f>tabela_zamowienia[[#This Row],[ship_country]]</f>
        <v>Poland</v>
      </c>
      <c r="E186" s="21">
        <f>tabela_zamowienia[[#This Row],[order_value]]</f>
        <v>1228.3900000000001</v>
      </c>
      <c r="F186" s="20" t="str">
        <f>tabela_zamowienia[[#This Row],[has_discount]]</f>
        <v>NIE</v>
      </c>
      <c r="G186" s="18" t="str">
        <f t="shared" si="6"/>
        <v>2024-12</v>
      </c>
      <c r="H186" s="20" t="str">
        <f>VLOOKUP(C186,tabela_klienci[[customer_id]:[country]],2,0)</f>
        <v>USA</v>
      </c>
      <c r="I186" s="20" t="str">
        <f t="shared" si="7"/>
        <v>Wysyłka za granicę</v>
      </c>
      <c r="J186" s="22" t="str">
        <f t="shared" si="8"/>
        <v>Zamówienie standardowe</v>
      </c>
    </row>
    <row r="188" spans="1:10" ht="18" x14ac:dyDescent="0.2">
      <c r="A188" s="64" t="s">
        <v>123</v>
      </c>
      <c r="B188" s="64"/>
      <c r="C188" s="64"/>
      <c r="D188" s="64"/>
      <c r="E188" s="64"/>
      <c r="F188" s="64"/>
    </row>
    <row r="189" spans="1:10" ht="15" x14ac:dyDescent="0.25">
      <c r="A189" s="24" t="s">
        <v>21</v>
      </c>
      <c r="B189" s="25" t="s">
        <v>40</v>
      </c>
      <c r="C189" s="26" t="s">
        <v>41</v>
      </c>
      <c r="D189" s="27" t="s">
        <v>42</v>
      </c>
      <c r="E189" s="28" t="s">
        <v>43</v>
      </c>
      <c r="F189" s="29" t="s">
        <v>122</v>
      </c>
    </row>
    <row r="190" spans="1:10" ht="15" x14ac:dyDescent="0.25">
      <c r="A190" s="30">
        <f>tabela_klienci[[#This Row],[customer_id]]</f>
        <v>6</v>
      </c>
      <c r="B190" s="14" t="str">
        <f>tabela_klienci[[#This Row],[country]]</f>
        <v>UK</v>
      </c>
      <c r="C190" s="10">
        <f>tabela_klienci[[#This Row],[orders_count]]</f>
        <v>6</v>
      </c>
      <c r="D190" s="13">
        <f>tabela_klienci[[#This Row],[total_revenue]]</f>
        <v>21514.95</v>
      </c>
      <c r="E190" s="12" t="str">
        <f>tabela_klienci[[#This Row],[used_discount]]</f>
        <v>TAK</v>
      </c>
      <c r="F190" s="16" t="str" cm="1">
        <f t="array" ref="F190">_xlfn.IFS(C190=0,"Nieaktywny",C190&lt;=3,"Niski",C190&lt;=4,"Średni",C190&gt;4,"Wysoki")</f>
        <v>Wysoki</v>
      </c>
      <c r="H190" s="60"/>
      <c r="I190" s="60"/>
    </row>
    <row r="191" spans="1:10" ht="15" x14ac:dyDescent="0.25">
      <c r="A191" s="30">
        <f>tabela_klienci[[#This Row],[customer_id]]</f>
        <v>4</v>
      </c>
      <c r="B191" s="14" t="str">
        <f>tabela_klienci[[#This Row],[country]]</f>
        <v>USA</v>
      </c>
      <c r="C191" s="10">
        <f>tabela_klienci[[#This Row],[orders_count]]</f>
        <v>5</v>
      </c>
      <c r="D191" s="13">
        <f>tabela_klienci[[#This Row],[total_revenue]]</f>
        <v>20683.37</v>
      </c>
      <c r="E191" s="12" t="str">
        <f>tabela_klienci[[#This Row],[used_discount]]</f>
        <v>NIE</v>
      </c>
      <c r="F191" s="16" t="str" cm="1">
        <f t="array" ref="F191">_xlfn.IFS(C191=0,"Nieaktywny",C191&lt;=3,"Niski",C191&lt;=4,"Średni",C191&gt;4,"Wysoki")</f>
        <v>Wysoki</v>
      </c>
      <c r="H191" s="60"/>
      <c r="I191" s="60"/>
    </row>
    <row r="192" spans="1:10" ht="15" x14ac:dyDescent="0.25">
      <c r="A192" s="30">
        <f>tabela_klienci[[#This Row],[customer_id]]</f>
        <v>5</v>
      </c>
      <c r="B192" s="14" t="str">
        <f>tabela_klienci[[#This Row],[country]]</f>
        <v>Spain</v>
      </c>
      <c r="C192" s="10">
        <f>tabela_klienci[[#This Row],[orders_count]]</f>
        <v>6</v>
      </c>
      <c r="D192" s="13">
        <f>tabela_klienci[[#This Row],[total_revenue]]</f>
        <v>19364.11</v>
      </c>
      <c r="E192" s="12" t="str">
        <f>tabela_klienci[[#This Row],[used_discount]]</f>
        <v>TAK</v>
      </c>
      <c r="F192" s="16" t="str" cm="1">
        <f t="array" ref="F192">_xlfn.IFS(C192=0,"Nieaktywny",C192&lt;=3,"Niski",C192&lt;=4,"Średni",C192&gt;4,"Wysoki")</f>
        <v>Wysoki</v>
      </c>
      <c r="H192" s="60"/>
      <c r="I192" s="60"/>
    </row>
    <row r="193" spans="1:9" ht="15" x14ac:dyDescent="0.25">
      <c r="A193" s="30">
        <f>tabela_klienci[[#This Row],[customer_id]]</f>
        <v>8</v>
      </c>
      <c r="B193" s="14" t="str">
        <f>tabela_klienci[[#This Row],[country]]</f>
        <v>Poland</v>
      </c>
      <c r="C193" s="10">
        <f>tabela_klienci[[#This Row],[orders_count]]</f>
        <v>6</v>
      </c>
      <c r="D193" s="13">
        <f>tabela_klienci[[#This Row],[total_revenue]]</f>
        <v>16341.55</v>
      </c>
      <c r="E193" s="12" t="str">
        <f>tabela_klienci[[#This Row],[used_discount]]</f>
        <v>NIE</v>
      </c>
      <c r="F193" s="16" t="str" cm="1">
        <f t="array" ref="F193">_xlfn.IFS(C193=0,"Nieaktywny",C193&lt;=3,"Niski",C193&lt;=4,"Średni",C193&gt;4,"Wysoki")</f>
        <v>Wysoki</v>
      </c>
      <c r="H193" s="60"/>
      <c r="I193" s="60"/>
    </row>
    <row r="194" spans="1:9" ht="15" x14ac:dyDescent="0.25">
      <c r="A194" s="30">
        <f>tabela_klienci[[#This Row],[customer_id]]</f>
        <v>7</v>
      </c>
      <c r="B194" s="14" t="str">
        <f>tabela_klienci[[#This Row],[country]]</f>
        <v>Canada</v>
      </c>
      <c r="C194" s="10">
        <f>tabela_klienci[[#This Row],[orders_count]]</f>
        <v>6</v>
      </c>
      <c r="D194" s="13">
        <f>tabela_klienci[[#This Row],[total_revenue]]</f>
        <v>15460.93</v>
      </c>
      <c r="E194" s="12" t="str">
        <f>tabela_klienci[[#This Row],[used_discount]]</f>
        <v>TAK</v>
      </c>
      <c r="F194" s="16" t="str" cm="1">
        <f t="array" ref="F194">_xlfn.IFS(C194=0,"Nieaktywny",C194&lt;=3,"Niski",C194&lt;=4,"Średni",C194&gt;4,"Wysoki")</f>
        <v>Wysoki</v>
      </c>
    </row>
    <row r="195" spans="1:9" ht="15" x14ac:dyDescent="0.25">
      <c r="A195" s="30">
        <f>tabela_klienci[[#This Row],[customer_id]]</f>
        <v>24</v>
      </c>
      <c r="B195" s="14" t="str">
        <f>tabela_klienci[[#This Row],[country]]</f>
        <v>Poland</v>
      </c>
      <c r="C195" s="10">
        <f>tabela_klienci[[#This Row],[orders_count]]</f>
        <v>6</v>
      </c>
      <c r="D195" s="13">
        <f>tabela_klienci[[#This Row],[total_revenue]]</f>
        <v>12635.58</v>
      </c>
      <c r="E195" s="12" t="str">
        <f>tabela_klienci[[#This Row],[used_discount]]</f>
        <v>TAK</v>
      </c>
      <c r="F195" s="16" t="str" cm="1">
        <f t="array" ref="F195">_xlfn.IFS(C195=0,"Nieaktywny",C195&lt;=3,"Niski",C195&lt;=4,"Średni",C195&gt;4,"Wysoki")</f>
        <v>Wysoki</v>
      </c>
    </row>
    <row r="196" spans="1:9" ht="15" x14ac:dyDescent="0.25">
      <c r="A196" s="30">
        <f>tabela_klienci[[#This Row],[customer_id]]</f>
        <v>16</v>
      </c>
      <c r="B196" s="14" t="str">
        <f>tabela_klienci[[#This Row],[country]]</f>
        <v>France</v>
      </c>
      <c r="C196" s="10">
        <f>tabela_klienci[[#This Row],[orders_count]]</f>
        <v>6</v>
      </c>
      <c r="D196" s="13">
        <f>tabela_klienci[[#This Row],[total_revenue]]</f>
        <v>12542.61</v>
      </c>
      <c r="E196" s="12" t="str">
        <f>tabela_klienci[[#This Row],[used_discount]]</f>
        <v>NIE</v>
      </c>
      <c r="F196" s="16" t="str" cm="1">
        <f t="array" ref="F196">_xlfn.IFS(C196=0,"Nieaktywny",C196&lt;=3,"Niski",C196&lt;=4,"Średni",C196&gt;4,"Wysoki")</f>
        <v>Wysoki</v>
      </c>
    </row>
    <row r="197" spans="1:9" ht="15" x14ac:dyDescent="0.25">
      <c r="A197" s="30">
        <f>tabela_klienci[[#This Row],[customer_id]]</f>
        <v>31</v>
      </c>
      <c r="B197" s="14" t="str">
        <f>tabela_klienci[[#This Row],[country]]</f>
        <v>Italy</v>
      </c>
      <c r="C197" s="10">
        <f>tabela_klienci[[#This Row],[orders_count]]</f>
        <v>4</v>
      </c>
      <c r="D197" s="13">
        <f>tabela_klienci[[#This Row],[total_revenue]]</f>
        <v>12384.66</v>
      </c>
      <c r="E197" s="12" t="str">
        <f>tabela_klienci[[#This Row],[used_discount]]</f>
        <v>NIE</v>
      </c>
      <c r="F197" s="16" t="str" cm="1">
        <f t="array" ref="F197">_xlfn.IFS(C197=0,"Nieaktywny",C197&lt;=3,"Niski",C197&lt;=4,"Średni",C197&gt;4,"Wysoki")</f>
        <v>Średni</v>
      </c>
    </row>
    <row r="198" spans="1:9" ht="15" x14ac:dyDescent="0.25">
      <c r="A198" s="30">
        <f>tabela_klienci[[#This Row],[customer_id]]</f>
        <v>14</v>
      </c>
      <c r="B198" s="14" t="str">
        <f>tabela_klienci[[#This Row],[country]]</f>
        <v>UK</v>
      </c>
      <c r="C198" s="10">
        <f>tabela_klienci[[#This Row],[orders_count]]</f>
        <v>6</v>
      </c>
      <c r="D198" s="13">
        <f>tabela_klienci[[#This Row],[total_revenue]]</f>
        <v>11653.36</v>
      </c>
      <c r="E198" s="12" t="str">
        <f>tabela_klienci[[#This Row],[used_discount]]</f>
        <v>TAK</v>
      </c>
      <c r="F198" s="16" t="str" cm="1">
        <f t="array" ref="F198">_xlfn.IFS(C198=0,"Nieaktywny",C198&lt;=3,"Niski",C198&lt;=4,"Średni",C198&gt;4,"Wysoki")</f>
        <v>Wysoki</v>
      </c>
    </row>
    <row r="199" spans="1:9" ht="15" x14ac:dyDescent="0.25">
      <c r="A199" s="30">
        <f>tabela_klienci[[#This Row],[customer_id]]</f>
        <v>32</v>
      </c>
      <c r="B199" s="14" t="str">
        <f>tabela_klienci[[#This Row],[country]]</f>
        <v>USA</v>
      </c>
      <c r="C199" s="10">
        <f>tabela_klienci[[#This Row],[orders_count]]</f>
        <v>4</v>
      </c>
      <c r="D199" s="13">
        <f>tabela_klienci[[#This Row],[total_revenue]]</f>
        <v>9902.18</v>
      </c>
      <c r="E199" s="12" t="str">
        <f>tabela_klienci[[#This Row],[used_discount]]</f>
        <v>TAK</v>
      </c>
      <c r="F199" s="16" t="str" cm="1">
        <f t="array" ref="F199">_xlfn.IFS(C199=0,"Nieaktywny",C199&lt;=3,"Niski",C199&lt;=4,"Średni",C199&gt;4,"Wysoki")</f>
        <v>Średni</v>
      </c>
    </row>
    <row r="200" spans="1:9" ht="15" x14ac:dyDescent="0.25">
      <c r="A200" s="30">
        <f>tabela_klienci[[#This Row],[customer_id]]</f>
        <v>23</v>
      </c>
      <c r="B200" s="14" t="str">
        <f>tabela_klienci[[#This Row],[country]]</f>
        <v>Spain</v>
      </c>
      <c r="C200" s="10">
        <f>tabela_klienci[[#This Row],[orders_count]]</f>
        <v>6</v>
      </c>
      <c r="D200" s="13">
        <f>tabela_klienci[[#This Row],[total_revenue]]</f>
        <v>8525.74</v>
      </c>
      <c r="E200" s="12" t="str">
        <f>tabela_klienci[[#This Row],[used_discount]]</f>
        <v>NIE</v>
      </c>
      <c r="F200" s="16" t="str" cm="1">
        <f t="array" ref="F200">_xlfn.IFS(C200=0,"Nieaktywny",C200&lt;=3,"Niski",C200&lt;=4,"Średni",C200&gt;4,"Wysoki")</f>
        <v>Wysoki</v>
      </c>
    </row>
    <row r="201" spans="1:9" ht="15" x14ac:dyDescent="0.25">
      <c r="A201" s="30">
        <f>tabela_klienci[[#This Row],[customer_id]]</f>
        <v>15</v>
      </c>
      <c r="B201" s="14" t="str">
        <f>tabela_klienci[[#This Row],[country]]</f>
        <v>USA</v>
      </c>
      <c r="C201" s="10">
        <f>tabela_klienci[[#This Row],[orders_count]]</f>
        <v>6</v>
      </c>
      <c r="D201" s="13">
        <f>tabela_klienci[[#This Row],[total_revenue]]</f>
        <v>8481.2800000000007</v>
      </c>
      <c r="E201" s="12" t="str">
        <f>tabela_klienci[[#This Row],[used_discount]]</f>
        <v>TAK</v>
      </c>
      <c r="F201" s="16" t="str" cm="1">
        <f t="array" ref="F201">_xlfn.IFS(C201=0,"Nieaktywny",C201&lt;=3,"Niski",C201&lt;=4,"Średni",C201&gt;4,"Wysoki")</f>
        <v>Wysoki</v>
      </c>
    </row>
    <row r="202" spans="1:9" ht="15" x14ac:dyDescent="0.25">
      <c r="A202" s="30">
        <f>tabela_klienci[[#This Row],[customer_id]]</f>
        <v>39</v>
      </c>
      <c r="B202" s="14" t="str">
        <f>tabela_klienci[[#This Row],[country]]</f>
        <v>China</v>
      </c>
      <c r="C202" s="10">
        <f>tabela_klienci[[#This Row],[orders_count]]</f>
        <v>3</v>
      </c>
      <c r="D202" s="13">
        <f>tabela_klienci[[#This Row],[total_revenue]]</f>
        <v>8421.8700000000008</v>
      </c>
      <c r="E202" s="12" t="str">
        <f>tabela_klienci[[#This Row],[used_discount]]</f>
        <v>NIE</v>
      </c>
      <c r="F202" s="16" t="str" cm="1">
        <f t="array" ref="F202">_xlfn.IFS(C202=0,"Nieaktywny",C202&lt;=3,"Niski",C202&lt;=4,"Średni",C202&gt;4,"Wysoki")</f>
        <v>Niski</v>
      </c>
    </row>
    <row r="203" spans="1:9" ht="15" x14ac:dyDescent="0.25">
      <c r="A203" s="30">
        <f>tabela_klienci[[#This Row],[customer_id]]</f>
        <v>19</v>
      </c>
      <c r="B203" s="14" t="str">
        <f>tabela_klienci[[#This Row],[country]]</f>
        <v>South Korea</v>
      </c>
      <c r="C203" s="10">
        <f>tabela_klienci[[#This Row],[orders_count]]</f>
        <v>6</v>
      </c>
      <c r="D203" s="13">
        <f>tabela_klienci[[#This Row],[total_revenue]]</f>
        <v>8190.58</v>
      </c>
      <c r="E203" s="12" t="str">
        <f>tabela_klienci[[#This Row],[used_discount]]</f>
        <v>TAK</v>
      </c>
      <c r="F203" s="16" t="str" cm="1">
        <f t="array" ref="F203">_xlfn.IFS(C203=0,"Nieaktywny",C203&lt;=3,"Niski",C203&lt;=4,"Średni",C203&gt;4,"Wysoki")</f>
        <v>Wysoki</v>
      </c>
    </row>
    <row r="204" spans="1:9" ht="15" x14ac:dyDescent="0.25">
      <c r="A204" s="30">
        <f>tabela_klienci[[#This Row],[customer_id]]</f>
        <v>21</v>
      </c>
      <c r="B204" s="14" t="str">
        <f>tabela_klienci[[#This Row],[country]]</f>
        <v>USA</v>
      </c>
      <c r="C204" s="10">
        <f>tabela_klienci[[#This Row],[orders_count]]</f>
        <v>6</v>
      </c>
      <c r="D204" s="13">
        <f>tabela_klienci[[#This Row],[total_revenue]]</f>
        <v>7908.67</v>
      </c>
      <c r="E204" s="12" t="str">
        <f>tabela_klienci[[#This Row],[used_discount]]</f>
        <v>NIE</v>
      </c>
      <c r="F204" s="16" t="str" cm="1">
        <f t="array" ref="F204">_xlfn.IFS(C204=0,"Nieaktywny",C204&lt;=3,"Niski",C204&lt;=4,"Średni",C204&gt;4,"Wysoki")</f>
        <v>Wysoki</v>
      </c>
    </row>
    <row r="205" spans="1:9" ht="15" x14ac:dyDescent="0.25">
      <c r="A205" s="30">
        <f>tabela_klienci[[#This Row],[customer_id]]</f>
        <v>18</v>
      </c>
      <c r="B205" s="14" t="str">
        <f>tabela_klienci[[#This Row],[country]]</f>
        <v>Spain</v>
      </c>
      <c r="C205" s="10">
        <f>tabela_klienci[[#This Row],[orders_count]]</f>
        <v>6</v>
      </c>
      <c r="D205" s="13">
        <f>tabela_klienci[[#This Row],[total_revenue]]</f>
        <v>7787.46</v>
      </c>
      <c r="E205" s="12" t="str">
        <f>tabela_klienci[[#This Row],[used_discount]]</f>
        <v>TAK</v>
      </c>
      <c r="F205" s="16" t="str" cm="1">
        <f t="array" ref="F205">_xlfn.IFS(C205=0,"Nieaktywny",C205&lt;=3,"Niski",C205&lt;=4,"Średni",C205&gt;4,"Wysoki")</f>
        <v>Wysoki</v>
      </c>
    </row>
    <row r="206" spans="1:9" ht="15" x14ac:dyDescent="0.25">
      <c r="A206" s="30">
        <f>tabela_klienci[[#This Row],[customer_id]]</f>
        <v>3</v>
      </c>
      <c r="B206" s="14" t="str">
        <f>tabela_klienci[[#This Row],[country]]</f>
        <v>USA</v>
      </c>
      <c r="C206" s="10">
        <f>tabela_klienci[[#This Row],[orders_count]]</f>
        <v>6</v>
      </c>
      <c r="D206" s="13">
        <f>tabela_klienci[[#This Row],[total_revenue]]</f>
        <v>7709.14</v>
      </c>
      <c r="E206" s="12" t="str">
        <f>tabela_klienci[[#This Row],[used_discount]]</f>
        <v>TAK</v>
      </c>
      <c r="F206" s="16" t="str" cm="1">
        <f t="array" ref="F206">_xlfn.IFS(C206=0,"Nieaktywny",C206&lt;=3,"Niski",C206&lt;=4,"Średni",C206&gt;4,"Wysoki")</f>
        <v>Wysoki</v>
      </c>
    </row>
    <row r="207" spans="1:9" ht="15" x14ac:dyDescent="0.25">
      <c r="A207" s="30">
        <f>tabela_klienci[[#This Row],[customer_id]]</f>
        <v>12</v>
      </c>
      <c r="B207" s="14" t="str">
        <f>tabela_klienci[[#This Row],[country]]</f>
        <v>USA</v>
      </c>
      <c r="C207" s="10">
        <f>tabela_klienci[[#This Row],[orders_count]]</f>
        <v>6</v>
      </c>
      <c r="D207" s="13">
        <f>tabela_klienci[[#This Row],[total_revenue]]</f>
        <v>7581.07</v>
      </c>
      <c r="E207" s="12" t="str">
        <f>tabela_klienci[[#This Row],[used_discount]]</f>
        <v>TAK</v>
      </c>
      <c r="F207" s="16" t="str" cm="1">
        <f t="array" ref="F207">_xlfn.IFS(C207=0,"Nieaktywny",C207&lt;=3,"Niski",C207&lt;=4,"Średni",C207&gt;4,"Wysoki")</f>
        <v>Wysoki</v>
      </c>
    </row>
    <row r="208" spans="1:9" ht="15" x14ac:dyDescent="0.25">
      <c r="A208" s="30">
        <f>tabela_klienci[[#This Row],[customer_id]]</f>
        <v>22</v>
      </c>
      <c r="B208" s="14" t="str">
        <f>tabela_klienci[[#This Row],[country]]</f>
        <v>Poland</v>
      </c>
      <c r="C208" s="10">
        <f>tabela_klienci[[#This Row],[orders_count]]</f>
        <v>6</v>
      </c>
      <c r="D208" s="13">
        <f>tabela_klienci[[#This Row],[total_revenue]]</f>
        <v>7449.36</v>
      </c>
      <c r="E208" s="12" t="str">
        <f>tabela_klienci[[#This Row],[used_discount]]</f>
        <v>NIE</v>
      </c>
      <c r="F208" s="16" t="str" cm="1">
        <f t="array" ref="F208">_xlfn.IFS(C208=0,"Nieaktywny",C208&lt;=3,"Niski",C208&lt;=4,"Średni",C208&gt;4,"Wysoki")</f>
        <v>Wysoki</v>
      </c>
    </row>
    <row r="209" spans="1:6" ht="15" x14ac:dyDescent="0.25">
      <c r="A209" s="30">
        <f>tabela_klienci[[#This Row],[customer_id]]</f>
        <v>30</v>
      </c>
      <c r="B209" s="14" t="str">
        <f>tabela_klienci[[#This Row],[country]]</f>
        <v>USA</v>
      </c>
      <c r="C209" s="10">
        <f>tabela_klienci[[#This Row],[orders_count]]</f>
        <v>4</v>
      </c>
      <c r="D209" s="13">
        <f>tabela_klienci[[#This Row],[total_revenue]]</f>
        <v>7365.25</v>
      </c>
      <c r="E209" s="12" t="str">
        <f>tabela_klienci[[#This Row],[used_discount]]</f>
        <v>TAK</v>
      </c>
      <c r="F209" s="16" t="str" cm="1">
        <f t="array" ref="F209">_xlfn.IFS(C209=0,"Nieaktywny",C209&lt;=3,"Niski",C209&lt;=4,"Średni",C209&gt;4,"Wysoki")</f>
        <v>Średni</v>
      </c>
    </row>
    <row r="210" spans="1:6" ht="15" x14ac:dyDescent="0.25">
      <c r="A210" s="30">
        <f>tabela_klienci[[#This Row],[customer_id]]</f>
        <v>40</v>
      </c>
      <c r="B210" s="14" t="str">
        <f>tabela_klienci[[#This Row],[country]]</f>
        <v>India</v>
      </c>
      <c r="C210" s="10">
        <f>tabela_klienci[[#This Row],[orders_count]]</f>
        <v>3</v>
      </c>
      <c r="D210" s="13">
        <f>tabela_klienci[[#This Row],[total_revenue]]</f>
        <v>5761.09</v>
      </c>
      <c r="E210" s="12" t="str">
        <f>tabela_klienci[[#This Row],[used_discount]]</f>
        <v>NIE</v>
      </c>
      <c r="F210" s="16" t="str" cm="1">
        <f t="array" ref="F210">_xlfn.IFS(C210=0,"Nieaktywny",C210&lt;=3,"Niski",C210&lt;=4,"Średni",C210&gt;4,"Wysoki")</f>
        <v>Niski</v>
      </c>
    </row>
    <row r="211" spans="1:6" ht="15" x14ac:dyDescent="0.25">
      <c r="A211" s="30">
        <f>tabela_klienci[[#This Row],[customer_id]]</f>
        <v>13</v>
      </c>
      <c r="B211" s="14" t="str">
        <f>tabela_klienci[[#This Row],[country]]</f>
        <v>UK</v>
      </c>
      <c r="C211" s="10">
        <f>tabela_klienci[[#This Row],[orders_count]]</f>
        <v>6</v>
      </c>
      <c r="D211" s="13">
        <f>tabela_klienci[[#This Row],[total_revenue]]</f>
        <v>5743.36</v>
      </c>
      <c r="E211" s="12" t="str">
        <f>tabela_klienci[[#This Row],[used_discount]]</f>
        <v>TAK</v>
      </c>
      <c r="F211" s="16" t="str" cm="1">
        <f t="array" ref="F211">_xlfn.IFS(C211=0,"Nieaktywny",C211&lt;=3,"Niski",C211&lt;=4,"Średni",C211&gt;4,"Wysoki")</f>
        <v>Wysoki</v>
      </c>
    </row>
    <row r="212" spans="1:6" ht="15" x14ac:dyDescent="0.25">
      <c r="A212" s="30">
        <f>tabela_klienci[[#This Row],[customer_id]]</f>
        <v>20</v>
      </c>
      <c r="B212" s="14" t="str">
        <f>tabela_klienci[[#This Row],[country]]</f>
        <v>UK</v>
      </c>
      <c r="C212" s="10">
        <f>tabela_klienci[[#This Row],[orders_count]]</f>
        <v>6</v>
      </c>
      <c r="D212" s="13">
        <f>tabela_klienci[[#This Row],[total_revenue]]</f>
        <v>5116.13</v>
      </c>
      <c r="E212" s="12" t="str">
        <f>tabela_klienci[[#This Row],[used_discount]]</f>
        <v>NIE</v>
      </c>
      <c r="F212" s="16" t="str" cm="1">
        <f t="array" ref="F212">_xlfn.IFS(C212=0,"Nieaktywny",C212&lt;=3,"Niski",C212&lt;=4,"Średni",C212&gt;4,"Wysoki")</f>
        <v>Wysoki</v>
      </c>
    </row>
    <row r="213" spans="1:6" ht="15" x14ac:dyDescent="0.25">
      <c r="A213" s="30">
        <f>tabela_klienci[[#This Row],[customer_id]]</f>
        <v>25</v>
      </c>
      <c r="B213" s="14" t="str">
        <f>tabela_klienci[[#This Row],[country]]</f>
        <v>Poland</v>
      </c>
      <c r="C213" s="10">
        <f>tabela_klienci[[#This Row],[orders_count]]</f>
        <v>5</v>
      </c>
      <c r="D213" s="13">
        <f>tabela_klienci[[#This Row],[total_revenue]]</f>
        <v>4905.96</v>
      </c>
      <c r="E213" s="12" t="str">
        <f>tabela_klienci[[#This Row],[used_discount]]</f>
        <v>NIE</v>
      </c>
      <c r="F213" s="16" t="str" cm="1">
        <f t="array" ref="F213">_xlfn.IFS(C213=0,"Nieaktywny",C213&lt;=3,"Niski",C213&lt;=4,"Średni",C213&gt;4,"Wysoki")</f>
        <v>Wysoki</v>
      </c>
    </row>
    <row r="214" spans="1:6" ht="15" x14ac:dyDescent="0.25">
      <c r="A214" s="30">
        <f>tabela_klienci[[#This Row],[customer_id]]</f>
        <v>37</v>
      </c>
      <c r="B214" s="14" t="str">
        <f>tabela_klienci[[#This Row],[country]]</f>
        <v>Japan</v>
      </c>
      <c r="C214" s="10">
        <f>tabela_klienci[[#This Row],[orders_count]]</f>
        <v>3</v>
      </c>
      <c r="D214" s="13">
        <f>tabela_klienci[[#This Row],[total_revenue]]</f>
        <v>4836.26</v>
      </c>
      <c r="E214" s="12" t="str">
        <f>tabela_klienci[[#This Row],[used_discount]]</f>
        <v>NIE</v>
      </c>
      <c r="F214" s="16" t="str" cm="1">
        <f t="array" ref="F214">_xlfn.IFS(C214=0,"Nieaktywny",C214&lt;=3,"Niski",C214&lt;=4,"Średni",C214&gt;4,"Wysoki")</f>
        <v>Niski</v>
      </c>
    </row>
    <row r="215" spans="1:6" ht="15" x14ac:dyDescent="0.25">
      <c r="A215" s="30">
        <f>tabela_klienci[[#This Row],[customer_id]]</f>
        <v>35</v>
      </c>
      <c r="B215" s="14" t="str">
        <f>tabela_klienci[[#This Row],[country]]</f>
        <v>Ukraine</v>
      </c>
      <c r="C215" s="10">
        <f>tabela_klienci[[#This Row],[orders_count]]</f>
        <v>3</v>
      </c>
      <c r="D215" s="13">
        <f>tabela_klienci[[#This Row],[total_revenue]]</f>
        <v>4446.3500000000004</v>
      </c>
      <c r="E215" s="12" t="str">
        <f>tabela_klienci[[#This Row],[used_discount]]</f>
        <v>NIE</v>
      </c>
      <c r="F215" s="16" t="str" cm="1">
        <f t="array" ref="F215">_xlfn.IFS(C215=0,"Nieaktywny",C215&lt;=3,"Niski",C215&lt;=4,"Średni",C215&gt;4,"Wysoki")</f>
        <v>Niski</v>
      </c>
    </row>
    <row r="216" spans="1:6" ht="15" x14ac:dyDescent="0.25">
      <c r="A216" s="30">
        <f>tabela_klienci[[#This Row],[customer_id]]</f>
        <v>28</v>
      </c>
      <c r="B216" s="14" t="str">
        <f>tabela_klienci[[#This Row],[country]]</f>
        <v>USA</v>
      </c>
      <c r="C216" s="10">
        <f>tabela_klienci[[#This Row],[orders_count]]</f>
        <v>5</v>
      </c>
      <c r="D216" s="13">
        <f>tabela_klienci[[#This Row],[total_revenue]]</f>
        <v>4152.25</v>
      </c>
      <c r="E216" s="12" t="str">
        <f>tabela_klienci[[#This Row],[used_discount]]</f>
        <v>NIE</v>
      </c>
      <c r="F216" s="16" t="str" cm="1">
        <f t="array" ref="F216">_xlfn.IFS(C216=0,"Nieaktywny",C216&lt;=3,"Niski",C216&lt;=4,"Średni",C216&gt;4,"Wysoki")</f>
        <v>Wysoki</v>
      </c>
    </row>
    <row r="217" spans="1:6" ht="15" x14ac:dyDescent="0.25">
      <c r="A217" s="30">
        <f>tabela_klienci[[#This Row],[customer_id]]</f>
        <v>9</v>
      </c>
      <c r="B217" s="14" t="str">
        <f>tabela_klienci[[#This Row],[country]]</f>
        <v>Poland</v>
      </c>
      <c r="C217" s="10">
        <f>tabela_klienci[[#This Row],[orders_count]]</f>
        <v>6</v>
      </c>
      <c r="D217" s="13">
        <f>tabela_klienci[[#This Row],[total_revenue]]</f>
        <v>4103.2700000000004</v>
      </c>
      <c r="E217" s="12" t="str">
        <f>tabela_klienci[[#This Row],[used_discount]]</f>
        <v>TAK</v>
      </c>
      <c r="F217" s="16" t="str" cm="1">
        <f t="array" ref="F217">_xlfn.IFS(C217=0,"Nieaktywny",C217&lt;=3,"Niski",C217&lt;=4,"Średni",C217&gt;4,"Wysoki")</f>
        <v>Wysoki</v>
      </c>
    </row>
    <row r="218" spans="1:6" ht="15" x14ac:dyDescent="0.25">
      <c r="A218" s="30">
        <f>tabela_klienci[[#This Row],[customer_id]]</f>
        <v>34</v>
      </c>
      <c r="B218" s="14" t="str">
        <f>tabela_klienci[[#This Row],[country]]</f>
        <v>Poland</v>
      </c>
      <c r="C218" s="10">
        <f>tabela_klienci[[#This Row],[orders_count]]</f>
        <v>3</v>
      </c>
      <c r="D218" s="13">
        <f>tabela_klienci[[#This Row],[total_revenue]]</f>
        <v>3987.87</v>
      </c>
      <c r="E218" s="12" t="str">
        <f>tabela_klienci[[#This Row],[used_discount]]</f>
        <v>NIE</v>
      </c>
      <c r="F218" s="16" t="str" cm="1">
        <f t="array" ref="F218">_xlfn.IFS(C218=0,"Nieaktywny",C218&lt;=3,"Niski",C218&lt;=4,"Średni",C218&gt;4,"Wysoki")</f>
        <v>Niski</v>
      </c>
    </row>
    <row r="219" spans="1:6" ht="15" x14ac:dyDescent="0.25">
      <c r="A219" s="30">
        <f>tabela_klienci[[#This Row],[customer_id]]</f>
        <v>1</v>
      </c>
      <c r="B219" s="14" t="str">
        <f>tabela_klienci[[#This Row],[country]]</f>
        <v>Poland</v>
      </c>
      <c r="C219" s="10">
        <f>tabela_klienci[[#This Row],[orders_count]]</f>
        <v>5</v>
      </c>
      <c r="D219" s="13">
        <f>tabela_klienci[[#This Row],[total_revenue]]</f>
        <v>3689.56</v>
      </c>
      <c r="E219" s="12" t="str">
        <f>tabela_klienci[[#This Row],[used_discount]]</f>
        <v>NIE</v>
      </c>
      <c r="F219" s="16" t="str" cm="1">
        <f t="array" ref="F219">_xlfn.IFS(C219=0,"Nieaktywny",C219&lt;=3,"Niski",C219&lt;=4,"Średni",C219&gt;4,"Wysoki")</f>
        <v>Wysoki</v>
      </c>
    </row>
    <row r="220" spans="1:6" ht="15" x14ac:dyDescent="0.25">
      <c r="A220" s="30">
        <f>tabela_klienci[[#This Row],[customer_id]]</f>
        <v>10</v>
      </c>
      <c r="B220" s="14" t="str">
        <f>tabela_klienci[[#This Row],[country]]</f>
        <v>Spain</v>
      </c>
      <c r="C220" s="10">
        <f>tabela_klienci[[#This Row],[orders_count]]</f>
        <v>6</v>
      </c>
      <c r="D220" s="13">
        <f>tabela_klienci[[#This Row],[total_revenue]]</f>
        <v>3562.95</v>
      </c>
      <c r="E220" s="12" t="str">
        <f>tabela_klienci[[#This Row],[used_discount]]</f>
        <v>NIE</v>
      </c>
      <c r="F220" s="16" t="str" cm="1">
        <f t="array" ref="F220">_xlfn.IFS(C220=0,"Nieaktywny",C220&lt;=3,"Niski",C220&lt;=4,"Średni",C220&gt;4,"Wysoki")</f>
        <v>Wysoki</v>
      </c>
    </row>
    <row r="221" spans="1:6" ht="15" x14ac:dyDescent="0.25">
      <c r="A221" s="30">
        <f>tabela_klienci[[#This Row],[customer_id]]</f>
        <v>36</v>
      </c>
      <c r="B221" s="14" t="str">
        <f>tabela_klienci[[#This Row],[country]]</f>
        <v>Russia</v>
      </c>
      <c r="C221" s="10">
        <f>tabela_klienci[[#This Row],[orders_count]]</f>
        <v>3</v>
      </c>
      <c r="D221" s="13">
        <f>tabela_klienci[[#This Row],[total_revenue]]</f>
        <v>3406.26</v>
      </c>
      <c r="E221" s="12" t="str">
        <f>tabela_klienci[[#This Row],[used_discount]]</f>
        <v>NIE</v>
      </c>
      <c r="F221" s="16" t="str" cm="1">
        <f t="array" ref="F221">_xlfn.IFS(C221=0,"Nieaktywny",C221&lt;=3,"Niski",C221&lt;=4,"Średni",C221&gt;4,"Wysoki")</f>
        <v>Niski</v>
      </c>
    </row>
    <row r="222" spans="1:6" ht="15" x14ac:dyDescent="0.25">
      <c r="A222" s="30">
        <f>tabela_klienci[[#This Row],[customer_id]]</f>
        <v>27</v>
      </c>
      <c r="B222" s="14" t="str">
        <f>tabela_klienci[[#This Row],[country]]</f>
        <v>USA</v>
      </c>
      <c r="C222" s="10">
        <f>tabela_klienci[[#This Row],[orders_count]]</f>
        <v>5</v>
      </c>
      <c r="D222" s="13">
        <f>tabela_klienci[[#This Row],[total_revenue]]</f>
        <v>3352.87</v>
      </c>
      <c r="E222" s="12" t="str">
        <f>tabela_klienci[[#This Row],[used_discount]]</f>
        <v>NIE</v>
      </c>
      <c r="F222" s="16" t="str" cm="1">
        <f t="array" ref="F222">_xlfn.IFS(C222=0,"Nieaktywny",C222&lt;=3,"Niski",C222&lt;=4,"Średni",C222&gt;4,"Wysoki")</f>
        <v>Wysoki</v>
      </c>
    </row>
    <row r="223" spans="1:6" ht="15" x14ac:dyDescent="0.25">
      <c r="A223" s="30">
        <f>tabela_klienci[[#This Row],[customer_id]]</f>
        <v>11</v>
      </c>
      <c r="B223" s="14" t="str">
        <f>tabela_klienci[[#This Row],[country]]</f>
        <v>Portugal</v>
      </c>
      <c r="C223" s="10">
        <f>tabela_klienci[[#This Row],[orders_count]]</f>
        <v>4</v>
      </c>
      <c r="D223" s="13">
        <f>tabela_klienci[[#This Row],[total_revenue]]</f>
        <v>2962.88</v>
      </c>
      <c r="E223" s="12" t="str">
        <f>tabela_klienci[[#This Row],[used_discount]]</f>
        <v>NIE</v>
      </c>
      <c r="F223" s="16" t="str" cm="1">
        <f t="array" ref="F223">_xlfn.IFS(C223=0,"Nieaktywny",C223&lt;=3,"Niski",C223&lt;=4,"Średni",C223&gt;4,"Wysoki")</f>
        <v>Średni</v>
      </c>
    </row>
    <row r="224" spans="1:6" ht="15" x14ac:dyDescent="0.25">
      <c r="A224" s="30">
        <f>tabela_klienci[[#This Row],[customer_id]]</f>
        <v>2</v>
      </c>
      <c r="B224" s="14" t="str">
        <f>tabela_klienci[[#This Row],[country]]</f>
        <v>Poland</v>
      </c>
      <c r="C224" s="10">
        <f>tabela_klienci[[#This Row],[orders_count]]</f>
        <v>5</v>
      </c>
      <c r="D224" s="13">
        <f>tabela_klienci[[#This Row],[total_revenue]]</f>
        <v>2908.5</v>
      </c>
      <c r="E224" s="12" t="str">
        <f>tabela_klienci[[#This Row],[used_discount]]</f>
        <v>TAK</v>
      </c>
      <c r="F224" s="16" t="str" cm="1">
        <f t="array" ref="F224">_xlfn.IFS(C224=0,"Nieaktywny",C224&lt;=3,"Niski",C224&lt;=4,"Średni",C224&gt;4,"Wysoki")</f>
        <v>Wysoki</v>
      </c>
    </row>
    <row r="225" spans="1:7" ht="15" x14ac:dyDescent="0.25">
      <c r="A225" s="30">
        <f>tabela_klienci[[#This Row],[customer_id]]</f>
        <v>17</v>
      </c>
      <c r="B225" s="14" t="str">
        <f>tabela_klienci[[#This Row],[country]]</f>
        <v>Canada</v>
      </c>
      <c r="C225" s="10">
        <f>tabela_klienci[[#This Row],[orders_count]]</f>
        <v>6</v>
      </c>
      <c r="D225" s="13">
        <f>tabela_klienci[[#This Row],[total_revenue]]</f>
        <v>2514.96</v>
      </c>
      <c r="E225" s="12" t="str">
        <f>tabela_klienci[[#This Row],[used_discount]]</f>
        <v>TAK</v>
      </c>
      <c r="F225" s="16" t="str" cm="1">
        <f t="array" ref="F225">_xlfn.IFS(C225=0,"Nieaktywny",C225&lt;=3,"Niski",C225&lt;=4,"Średni",C225&gt;4,"Wysoki")</f>
        <v>Wysoki</v>
      </c>
    </row>
    <row r="226" spans="1:7" ht="15" x14ac:dyDescent="0.25">
      <c r="A226" s="30">
        <f>tabela_klienci[[#This Row],[customer_id]]</f>
        <v>26</v>
      </c>
      <c r="B226" s="14" t="str">
        <f>tabela_klienci[[#This Row],[country]]</f>
        <v>Germany</v>
      </c>
      <c r="C226" s="10">
        <f>tabela_klienci[[#This Row],[orders_count]]</f>
        <v>5</v>
      </c>
      <c r="D226" s="13">
        <f>tabela_klienci[[#This Row],[total_revenue]]</f>
        <v>2335.29</v>
      </c>
      <c r="E226" s="12" t="str">
        <f>tabela_klienci[[#This Row],[used_discount]]</f>
        <v>NIE</v>
      </c>
      <c r="F226" s="16" t="str" cm="1">
        <f t="array" ref="F226">_xlfn.IFS(C226=0,"Nieaktywny",C226&lt;=3,"Niski",C226&lt;=4,"Średni",C226&gt;4,"Wysoki")</f>
        <v>Wysoki</v>
      </c>
    </row>
    <row r="227" spans="1:7" ht="15" x14ac:dyDescent="0.25">
      <c r="A227" s="30">
        <f>tabela_klienci[[#This Row],[customer_id]]</f>
        <v>29</v>
      </c>
      <c r="B227" s="14" t="str">
        <f>tabela_klienci[[#This Row],[country]]</f>
        <v>USA</v>
      </c>
      <c r="C227" s="10">
        <f>tabela_klienci[[#This Row],[orders_count]]</f>
        <v>5</v>
      </c>
      <c r="D227" s="13">
        <f>tabela_klienci[[#This Row],[total_revenue]]</f>
        <v>1960.87</v>
      </c>
      <c r="E227" s="12" t="str">
        <f>tabela_klienci[[#This Row],[used_discount]]</f>
        <v>NIE</v>
      </c>
      <c r="F227" s="16" t="str" cm="1">
        <f t="array" ref="F227">_xlfn.IFS(C227=0,"Nieaktywny",C227&lt;=3,"Niski",C227&lt;=4,"Średni",C227&gt;4,"Wysoki")</f>
        <v>Wysoki</v>
      </c>
    </row>
    <row r="228" spans="1:7" ht="15" x14ac:dyDescent="0.25">
      <c r="A228" s="30">
        <f>tabela_klienci[[#This Row],[customer_id]]</f>
        <v>38</v>
      </c>
      <c r="B228" s="14" t="str">
        <f>tabela_klienci[[#This Row],[country]]</f>
        <v>UAE</v>
      </c>
      <c r="C228" s="10">
        <f>tabela_klienci[[#This Row],[orders_count]]</f>
        <v>3</v>
      </c>
      <c r="D228" s="13">
        <f>tabela_klienci[[#This Row],[total_revenue]]</f>
        <v>1221.8499999999999</v>
      </c>
      <c r="E228" s="12" t="str">
        <f>tabela_klienci[[#This Row],[used_discount]]</f>
        <v>NIE</v>
      </c>
      <c r="F228" s="16" t="str" cm="1">
        <f t="array" ref="F228">_xlfn.IFS(C228=0,"Nieaktywny",C228&lt;=3,"Niski",C228&lt;=4,"Średni",C228&gt;4,"Wysoki")</f>
        <v>Niski</v>
      </c>
    </row>
    <row r="229" spans="1:7" ht="15" x14ac:dyDescent="0.25">
      <c r="A229" s="30">
        <f>tabela_klienci[[#This Row],[customer_id]]</f>
        <v>33</v>
      </c>
      <c r="B229" s="14" t="str">
        <f>tabela_klienci[[#This Row],[country]]</f>
        <v>Poland</v>
      </c>
      <c r="C229" s="10">
        <f>tabela_klienci[[#This Row],[orders_count]]</f>
        <v>3</v>
      </c>
      <c r="D229" s="13">
        <f>tabela_klienci[[#This Row],[total_revenue]]</f>
        <v>1107.08</v>
      </c>
      <c r="E229" s="12" t="str">
        <f>tabela_klienci[[#This Row],[used_discount]]</f>
        <v>NIE</v>
      </c>
      <c r="F229" s="16" t="str" cm="1">
        <f t="array" ref="F229">_xlfn.IFS(C229=0,"Nieaktywny",C229&lt;=3,"Niski",C229&lt;=4,"Średni",C229&gt;4,"Wysoki")</f>
        <v>Niski</v>
      </c>
    </row>
    <row r="230" spans="1:7" ht="15" x14ac:dyDescent="0.25">
      <c r="A230" s="30">
        <f>tabela_klienci[[#This Row],[customer_id]]</f>
        <v>48</v>
      </c>
      <c r="B230" s="14" t="str">
        <f>tabela_klienci[[#This Row],[country]]</f>
        <v>Sweden</v>
      </c>
      <c r="C230" s="10">
        <f>tabela_klienci[[#This Row],[orders_count]]</f>
        <v>0</v>
      </c>
      <c r="D230" s="13">
        <f>tabela_klienci[[#This Row],[total_revenue]]</f>
        <v>0</v>
      </c>
      <c r="E230" s="12" t="str">
        <f>tabela_klienci[[#This Row],[used_discount]]</f>
        <v>NIE</v>
      </c>
      <c r="F230" s="16" t="str" cm="1">
        <f t="array" ref="F230">_xlfn.IFS(C230=0,"Nieaktywny",C230&lt;=3,"Niski",C230&lt;=4,"Średni",C230&gt;4,"Wysoki")</f>
        <v>Nieaktywny</v>
      </c>
    </row>
    <row r="231" spans="1:7" ht="15" x14ac:dyDescent="0.25">
      <c r="A231" s="30">
        <f>tabela_klienci[[#This Row],[customer_id]]</f>
        <v>49</v>
      </c>
      <c r="B231" s="14" t="str">
        <f>tabela_klienci[[#This Row],[country]]</f>
        <v>Sweden</v>
      </c>
      <c r="C231" s="10">
        <f>tabela_klienci[[#This Row],[orders_count]]</f>
        <v>0</v>
      </c>
      <c r="D231" s="13">
        <f>tabela_klienci[[#This Row],[total_revenue]]</f>
        <v>0</v>
      </c>
      <c r="E231" s="12" t="str">
        <f>tabela_klienci[[#This Row],[used_discount]]</f>
        <v>NIE</v>
      </c>
      <c r="F231" s="16" t="str" cm="1">
        <f t="array" ref="F231">_xlfn.IFS(C231=0,"Nieaktywny",C231&lt;=3,"Niski",C231&lt;=4,"Średni",C231&gt;4,"Wysoki")</f>
        <v>Nieaktywny</v>
      </c>
    </row>
    <row r="232" spans="1:7" ht="15" x14ac:dyDescent="0.25">
      <c r="A232" s="30">
        <f>tabela_klienci[[#This Row],[customer_id]]</f>
        <v>41</v>
      </c>
      <c r="B232" s="14" t="str">
        <f>tabela_klienci[[#This Row],[country]]</f>
        <v>UK</v>
      </c>
      <c r="C232" s="10">
        <f>tabela_klienci[[#This Row],[orders_count]]</f>
        <v>0</v>
      </c>
      <c r="D232" s="13">
        <f>tabela_klienci[[#This Row],[total_revenue]]</f>
        <v>0</v>
      </c>
      <c r="E232" s="12" t="str">
        <f>tabela_klienci[[#This Row],[used_discount]]</f>
        <v>NIE</v>
      </c>
      <c r="F232" s="16" t="str" cm="1">
        <f t="array" ref="F232">_xlfn.IFS(C232=0,"Nieaktywny",C232&lt;=3,"Niski",C232&lt;=4,"Średni",C232&gt;4,"Wysoki")</f>
        <v>Nieaktywny</v>
      </c>
    </row>
    <row r="233" spans="1:7" ht="15" x14ac:dyDescent="0.25">
      <c r="A233" s="30">
        <f>tabela_klienci[[#This Row],[customer_id]]</f>
        <v>42</v>
      </c>
      <c r="B233" s="14" t="str">
        <f>tabela_klienci[[#This Row],[country]]</f>
        <v>USA</v>
      </c>
      <c r="C233" s="10">
        <f>tabela_klienci[[#This Row],[orders_count]]</f>
        <v>0</v>
      </c>
      <c r="D233" s="13">
        <f>tabela_klienci[[#This Row],[total_revenue]]</f>
        <v>0</v>
      </c>
      <c r="E233" s="12" t="str">
        <f>tabela_klienci[[#This Row],[used_discount]]</f>
        <v>NIE</v>
      </c>
      <c r="F233" s="16" t="str" cm="1">
        <f t="array" ref="F233">_xlfn.IFS(C233=0,"Nieaktywny",C233&lt;=3,"Niski",C233&lt;=4,"Średni",C233&gt;4,"Wysoki")</f>
        <v>Nieaktywny</v>
      </c>
    </row>
    <row r="234" spans="1:7" ht="15" x14ac:dyDescent="0.25">
      <c r="A234" s="30">
        <f>tabela_klienci[[#This Row],[customer_id]]</f>
        <v>43</v>
      </c>
      <c r="B234" s="14" t="str">
        <f>tabela_klienci[[#This Row],[country]]</f>
        <v>Poland</v>
      </c>
      <c r="C234" s="10">
        <f>tabela_klienci[[#This Row],[orders_count]]</f>
        <v>0</v>
      </c>
      <c r="D234" s="13">
        <f>tabela_klienci[[#This Row],[total_revenue]]</f>
        <v>0</v>
      </c>
      <c r="E234" s="12" t="str">
        <f>tabela_klienci[[#This Row],[used_discount]]</f>
        <v>NIE</v>
      </c>
      <c r="F234" s="16" t="str" cm="1">
        <f t="array" ref="F234">_xlfn.IFS(C234=0,"Nieaktywny",C234&lt;=3,"Niski",C234&lt;=4,"Średni",C234&gt;4,"Wysoki")</f>
        <v>Nieaktywny</v>
      </c>
    </row>
    <row r="235" spans="1:7" ht="15" x14ac:dyDescent="0.25">
      <c r="A235" s="30">
        <f>tabela_klienci[[#This Row],[customer_id]]</f>
        <v>44</v>
      </c>
      <c r="B235" s="14" t="str">
        <f>tabela_klienci[[#This Row],[country]]</f>
        <v>Poland</v>
      </c>
      <c r="C235" s="10">
        <f>tabela_klienci[[#This Row],[orders_count]]</f>
        <v>0</v>
      </c>
      <c r="D235" s="13">
        <f>tabela_klienci[[#This Row],[total_revenue]]</f>
        <v>0</v>
      </c>
      <c r="E235" s="12" t="str">
        <f>tabela_klienci[[#This Row],[used_discount]]</f>
        <v>NIE</v>
      </c>
      <c r="F235" s="16" t="str" cm="1">
        <f t="array" ref="F235">_xlfn.IFS(C235=0,"Nieaktywny",C235&lt;=3,"Niski",C235&lt;=4,"Średni",C235&gt;4,"Wysoki")</f>
        <v>Nieaktywny</v>
      </c>
    </row>
    <row r="236" spans="1:7" ht="15" x14ac:dyDescent="0.25">
      <c r="A236" s="30">
        <f>tabela_klienci[[#This Row],[customer_id]]</f>
        <v>45</v>
      </c>
      <c r="B236" s="14" t="str">
        <f>tabela_klienci[[#This Row],[country]]</f>
        <v>Poland</v>
      </c>
      <c r="C236" s="10">
        <f>tabela_klienci[[#This Row],[orders_count]]</f>
        <v>0</v>
      </c>
      <c r="D236" s="13">
        <f>tabela_klienci[[#This Row],[total_revenue]]</f>
        <v>0</v>
      </c>
      <c r="E236" s="12" t="str">
        <f>tabela_klienci[[#This Row],[used_discount]]</f>
        <v>NIE</v>
      </c>
      <c r="F236" s="16" t="str" cm="1">
        <f t="array" ref="F236">_xlfn.IFS(C236=0,"Nieaktywny",C236&lt;=3,"Niski",C236&lt;=4,"Średni",C236&gt;4,"Wysoki")</f>
        <v>Nieaktywny</v>
      </c>
    </row>
    <row r="237" spans="1:7" ht="15" x14ac:dyDescent="0.25">
      <c r="A237" s="30">
        <f>tabela_klienci[[#This Row],[customer_id]]</f>
        <v>46</v>
      </c>
      <c r="B237" s="14" t="str">
        <f>tabela_klienci[[#This Row],[country]]</f>
        <v>USA</v>
      </c>
      <c r="C237" s="10">
        <f>tabela_klienci[[#This Row],[orders_count]]</f>
        <v>0</v>
      </c>
      <c r="D237" s="13">
        <f>tabela_klienci[[#This Row],[total_revenue]]</f>
        <v>0</v>
      </c>
      <c r="E237" s="12" t="str">
        <f>tabela_klienci[[#This Row],[used_discount]]</f>
        <v>NIE</v>
      </c>
      <c r="F237" s="16" t="str" cm="1">
        <f t="array" ref="F237">_xlfn.IFS(C237=0,"Nieaktywny",C237&lt;=3,"Niski",C237&lt;=4,"Średni",C237&gt;4,"Wysoki")</f>
        <v>Nieaktywny</v>
      </c>
    </row>
    <row r="238" spans="1:7" ht="15" x14ac:dyDescent="0.25">
      <c r="A238" s="23">
        <f>tabela_klienci[[#This Row],[customer_id]]</f>
        <v>47</v>
      </c>
      <c r="B238" s="31" t="str">
        <f>tabela_klienci[[#This Row],[country]]</f>
        <v>UK</v>
      </c>
      <c r="C238" s="19">
        <f>tabela_klienci[[#This Row],[orders_count]]</f>
        <v>0</v>
      </c>
      <c r="D238" s="21">
        <f>tabela_klienci[[#This Row],[total_revenue]]</f>
        <v>0</v>
      </c>
      <c r="E238" s="20" t="str">
        <f>tabela_klienci[[#This Row],[used_discount]]</f>
        <v>NIE</v>
      </c>
      <c r="F238" s="22" t="str" cm="1">
        <f t="array" ref="F238">_xlfn.IFS(C238=0,"Nieaktywny",C238&lt;=3,"Niski",C238&lt;=4,"Średni",C238&gt;4,"Wysoki")</f>
        <v>Nieaktywny</v>
      </c>
    </row>
    <row r="240" spans="1:7" ht="18" x14ac:dyDescent="0.25">
      <c r="A240" s="57" t="s">
        <v>124</v>
      </c>
      <c r="B240" s="58"/>
      <c r="C240" s="58"/>
      <c r="D240" s="58"/>
      <c r="E240" s="58"/>
      <c r="F240" s="58"/>
      <c r="G240" s="59"/>
    </row>
    <row r="241" spans="1:7" ht="15" x14ac:dyDescent="0.25">
      <c r="A241" s="24" t="s">
        <v>48</v>
      </c>
      <c r="B241" s="25" t="s">
        <v>49</v>
      </c>
      <c r="C241" s="26" t="s">
        <v>50</v>
      </c>
      <c r="D241" s="27" t="s">
        <v>51</v>
      </c>
      <c r="E241" s="28" t="s">
        <v>42</v>
      </c>
      <c r="F241" s="27" t="s">
        <v>24</v>
      </c>
      <c r="G241" s="33" t="s">
        <v>125</v>
      </c>
    </row>
    <row r="242" spans="1:7" x14ac:dyDescent="0.2">
      <c r="A242" s="15">
        <f>tabela_produkty[[#This Row],[product_id]]</f>
        <v>15</v>
      </c>
      <c r="B242" s="12" t="str">
        <f>tabela_produkty[[#This Row],[product_name]]</f>
        <v>Mountain Bike Helmet</v>
      </c>
      <c r="C242" s="12" t="str">
        <f>tabela_produkty[[#This Row],[category_name]]</f>
        <v>Sports &amp; Outdoors</v>
      </c>
      <c r="D242" s="10">
        <f>tabela_produkty[[#This Row],[total_quantity]]</f>
        <v>21</v>
      </c>
      <c r="E242" s="13">
        <f>tabela_produkty[[#This Row],[total_revenue]]</f>
        <v>80634.149999999994</v>
      </c>
      <c r="F242" s="12" t="str">
        <f>tabela_produkty[[#This Row],[has_discount]]</f>
        <v>TAK</v>
      </c>
      <c r="G242" s="32" t="str" cm="1">
        <f t="array" ref="G242">_xlfn.IFS(E242=0,"Brak sprzedaży",E242&lt;=500,"Niski",E242&lt;=5000,"Średni",E242&gt;5000,"Wysoki")</f>
        <v>Wysoki</v>
      </c>
    </row>
    <row r="243" spans="1:7" x14ac:dyDescent="0.2">
      <c r="A243" s="15">
        <f>tabela_produkty[[#This Row],[product_id]]</f>
        <v>4</v>
      </c>
      <c r="B243" s="12" t="str">
        <f>tabela_produkty[[#This Row],[product_name]]</f>
        <v>4K Ultra TV 55"</v>
      </c>
      <c r="C243" s="12" t="str">
        <f>tabela_produkty[[#This Row],[category_name]]</f>
        <v>Electronics</v>
      </c>
      <c r="D243" s="10">
        <f>tabela_produkty[[#This Row],[total_quantity]]</f>
        <v>17</v>
      </c>
      <c r="E243" s="13">
        <f>tabela_produkty[[#This Row],[total_revenue]]</f>
        <v>41733.300000000003</v>
      </c>
      <c r="F243" s="12" t="str">
        <f>tabela_produkty[[#This Row],[has_discount]]</f>
        <v>TAK</v>
      </c>
      <c r="G243" s="32" t="str" cm="1">
        <f t="array" ref="G243">_xlfn.IFS(E243=0,"Brak sprzedaży",E243&lt;=500,"Niski",E243&lt;=5000,"Średni",E243&gt;5000,"Wysoki")</f>
        <v>Wysoki</v>
      </c>
    </row>
    <row r="244" spans="1:7" x14ac:dyDescent="0.2">
      <c r="A244" s="15">
        <f>tabela_produkty[[#This Row],[product_id]]</f>
        <v>1</v>
      </c>
      <c r="B244" s="12" t="str">
        <f>tabela_produkty[[#This Row],[product_name]]</f>
        <v>Smartphone X100</v>
      </c>
      <c r="C244" s="12" t="str">
        <f>tabela_produkty[[#This Row],[category_name]]</f>
        <v>Electronics</v>
      </c>
      <c r="D244" s="10">
        <f>tabela_produkty[[#This Row],[total_quantity]]</f>
        <v>46</v>
      </c>
      <c r="E244" s="13">
        <f>tabela_produkty[[#This Row],[total_revenue]]</f>
        <v>40859.550000000003</v>
      </c>
      <c r="F244" s="12" t="str">
        <f>tabela_produkty[[#This Row],[has_discount]]</f>
        <v>TAK</v>
      </c>
      <c r="G244" s="32" t="str" cm="1">
        <f t="array" ref="G244">_xlfn.IFS(E244=0,"Brak sprzedaży",E244&lt;=500,"Niski",E244&lt;=5000,"Średni",E244&gt;5000,"Wysoki")</f>
        <v>Wysoki</v>
      </c>
    </row>
    <row r="245" spans="1:7" x14ac:dyDescent="0.2">
      <c r="A245" s="15">
        <f>tabela_produkty[[#This Row],[product_id]]</f>
        <v>16</v>
      </c>
      <c r="B245" s="12" t="str">
        <f>tabela_produkty[[#This Row],[product_name]]</f>
        <v>Premium Road Bike</v>
      </c>
      <c r="C245" s="12" t="str">
        <f>tabela_produkty[[#This Row],[category_name]]</f>
        <v>Sports &amp; Outdoors</v>
      </c>
      <c r="D245" s="10">
        <f>tabela_produkty[[#This Row],[total_quantity]]</f>
        <v>9</v>
      </c>
      <c r="E245" s="13">
        <f>tabela_produkty[[#This Row],[total_revenue]]</f>
        <v>35052.980000000003</v>
      </c>
      <c r="F245" s="12" t="str">
        <f>tabela_produkty[[#This Row],[has_discount]]</f>
        <v>NIE</v>
      </c>
      <c r="G245" s="32" t="str" cm="1">
        <f t="array" ref="G245">_xlfn.IFS(E245=0,"Brak sprzedaży",E245&lt;=500,"Niski",E245&lt;=5000,"Średni",E245&gt;5000,"Wysoki")</f>
        <v>Wysoki</v>
      </c>
    </row>
    <row r="246" spans="1:7" x14ac:dyDescent="0.2">
      <c r="A246" s="15">
        <f>tabela_produkty[[#This Row],[product_id]]</f>
        <v>5</v>
      </c>
      <c r="B246" s="12" t="str">
        <f>tabela_produkty[[#This Row],[product_name]]</f>
        <v>Gaming Laptop G5</v>
      </c>
      <c r="C246" s="12" t="str">
        <f>tabela_produkty[[#This Row],[category_name]]</f>
        <v>Electronics</v>
      </c>
      <c r="D246" s="10">
        <f>tabela_produkty[[#This Row],[total_quantity]]</f>
        <v>42</v>
      </c>
      <c r="E246" s="13">
        <f>tabela_produkty[[#This Row],[total_revenue]]</f>
        <v>29675.360000000001</v>
      </c>
      <c r="F246" s="12" t="str">
        <f>tabela_produkty[[#This Row],[has_discount]]</f>
        <v>TAK</v>
      </c>
      <c r="G246" s="32" t="str" cm="1">
        <f t="array" ref="G246">_xlfn.IFS(E246=0,"Brak sprzedaży",E246&lt;=500,"Niski",E246&lt;=5000,"Średni",E246&gt;5000,"Wysoki")</f>
        <v>Wysoki</v>
      </c>
    </row>
    <row r="247" spans="1:7" x14ac:dyDescent="0.2">
      <c r="A247" s="15">
        <f>tabela_produkty[[#This Row],[product_id]]</f>
        <v>14</v>
      </c>
      <c r="B247" s="12" t="str">
        <f>tabela_produkty[[#This Row],[product_name]]</f>
        <v>Yoga Mat Comfort</v>
      </c>
      <c r="C247" s="12" t="str">
        <f>tabela_produkty[[#This Row],[category_name]]</f>
        <v>Sports &amp; Outdoors</v>
      </c>
      <c r="D247" s="10">
        <f>tabela_produkty[[#This Row],[total_quantity]]</f>
        <v>34</v>
      </c>
      <c r="E247" s="13">
        <f>tabela_produkty[[#This Row],[total_revenue]]</f>
        <v>12827.95</v>
      </c>
      <c r="F247" s="12" t="str">
        <f>tabela_produkty[[#This Row],[has_discount]]</f>
        <v>TAK</v>
      </c>
      <c r="G247" s="32" t="str" cm="1">
        <f t="array" ref="G247">_xlfn.IFS(E247=0,"Brak sprzedaży",E247&lt;=500,"Niski",E247&lt;=5000,"Średni",E247&gt;5000,"Wysoki")</f>
        <v>Wysoki</v>
      </c>
    </row>
    <row r="248" spans="1:7" x14ac:dyDescent="0.2">
      <c r="A248" s="15">
        <f>tabela_produkty[[#This Row],[product_id]]</f>
        <v>2</v>
      </c>
      <c r="B248" s="12" t="str">
        <f>tabela_produkty[[#This Row],[product_name]]</f>
        <v>Wireless Headphones</v>
      </c>
      <c r="C248" s="12" t="str">
        <f>tabela_produkty[[#This Row],[category_name]]</f>
        <v>Electronics</v>
      </c>
      <c r="D248" s="10">
        <f>tabela_produkty[[#This Row],[total_quantity]]</f>
        <v>35</v>
      </c>
      <c r="E248" s="13">
        <f>tabela_produkty[[#This Row],[total_revenue]]</f>
        <v>6962.55</v>
      </c>
      <c r="F248" s="12" t="str">
        <f>tabela_produkty[[#This Row],[has_discount]]</f>
        <v>TAK</v>
      </c>
      <c r="G248" s="32" t="str" cm="1">
        <f t="array" ref="G248">_xlfn.IFS(E248=0,"Brak sprzedaży",E248&lt;=500,"Niski",E248&lt;=5000,"Średni",E248&gt;5000,"Wysoki")</f>
        <v>Wysoki</v>
      </c>
    </row>
    <row r="249" spans="1:7" x14ac:dyDescent="0.2">
      <c r="A249" s="15">
        <f>tabela_produkty[[#This Row],[product_id]]</f>
        <v>20</v>
      </c>
      <c r="B249" s="12" t="str">
        <f>tabela_produkty[[#This Row],[product_name]]</f>
        <v>Tent 2-Person UltraLight</v>
      </c>
      <c r="C249" s="12" t="str">
        <f>tabela_produkty[[#This Row],[category_name]]</f>
        <v>Sports &amp; Outdoors</v>
      </c>
      <c r="D249" s="10">
        <f>tabela_produkty[[#This Row],[total_quantity]]</f>
        <v>12</v>
      </c>
      <c r="E249" s="13">
        <f>tabela_produkty[[#This Row],[total_revenue]]</f>
        <v>6338</v>
      </c>
      <c r="F249" s="12" t="str">
        <f>tabela_produkty[[#This Row],[has_discount]]</f>
        <v>NIE</v>
      </c>
      <c r="G249" s="32" t="str" cm="1">
        <f t="array" ref="G249">_xlfn.IFS(E249=0,"Brak sprzedaży",E249&lt;=500,"Niski",E249&lt;=5000,"Średni",E249&gt;5000,"Wysoki")</f>
        <v>Wysoki</v>
      </c>
    </row>
    <row r="250" spans="1:7" x14ac:dyDescent="0.2">
      <c r="A250" s="15">
        <f>tabela_produkty[[#This Row],[product_id]]</f>
        <v>6</v>
      </c>
      <c r="B250" s="12" t="str">
        <f>tabela_produkty[[#This Row],[product_name]]</f>
        <v>Portable Power Bank 20000mAh</v>
      </c>
      <c r="C250" s="12" t="str">
        <f>tabela_produkty[[#This Row],[category_name]]</f>
        <v>Electronics</v>
      </c>
      <c r="D250" s="10">
        <f>tabela_produkty[[#This Row],[total_quantity]]</f>
        <v>20</v>
      </c>
      <c r="E250" s="13">
        <f>tabela_produkty[[#This Row],[total_revenue]]</f>
        <v>5282.87</v>
      </c>
      <c r="F250" s="12" t="str">
        <f>tabela_produkty[[#This Row],[has_discount]]</f>
        <v>TAK</v>
      </c>
      <c r="G250" s="32" t="str" cm="1">
        <f t="array" ref="G250">_xlfn.IFS(E250=0,"Brak sprzedaży",E250&lt;=500,"Niski",E250&lt;=5000,"Średni",E250&gt;5000,"Wysoki")</f>
        <v>Wysoki</v>
      </c>
    </row>
    <row r="251" spans="1:7" x14ac:dyDescent="0.2">
      <c r="A251" s="15">
        <f>tabela_produkty[[#This Row],[product_id]]</f>
        <v>11</v>
      </c>
      <c r="B251" s="12" t="str">
        <f>tabela_produkty[[#This Row],[product_name]]</f>
        <v>Espresso Machine Mini</v>
      </c>
      <c r="C251" s="12" t="str">
        <f>tabela_produkty[[#This Row],[category_name]]</f>
        <v>Home &amp; Kitchen</v>
      </c>
      <c r="D251" s="10">
        <f>tabela_produkty[[#This Row],[total_quantity]]</f>
        <v>47</v>
      </c>
      <c r="E251" s="13">
        <f>tabela_produkty[[#This Row],[total_revenue]]</f>
        <v>4459.75</v>
      </c>
      <c r="F251" s="12" t="str">
        <f>tabela_produkty[[#This Row],[has_discount]]</f>
        <v>TAK</v>
      </c>
      <c r="G251" s="32" t="str" cm="1">
        <f t="array" ref="G251">_xlfn.IFS(E251=0,"Brak sprzedaży",E251&lt;=500,"Niski",E251&lt;=5000,"Średni",E251&gt;5000,"Wysoki")</f>
        <v>Średni</v>
      </c>
    </row>
    <row r="252" spans="1:7" x14ac:dyDescent="0.2">
      <c r="A252" s="15">
        <f>tabela_produkty[[#This Row],[product_id]]</f>
        <v>7</v>
      </c>
      <c r="B252" s="12" t="str">
        <f>tabela_produkty[[#This Row],[product_name]]</f>
        <v>Smartwatch Active Pro</v>
      </c>
      <c r="C252" s="12" t="str">
        <f>tabela_produkty[[#This Row],[category_name]]</f>
        <v>Electronics</v>
      </c>
      <c r="D252" s="10">
        <f>tabela_produkty[[#This Row],[total_quantity]]</f>
        <v>21</v>
      </c>
      <c r="E252" s="13">
        <f>tabela_produkty[[#This Row],[total_revenue]]</f>
        <v>3875.83</v>
      </c>
      <c r="F252" s="12" t="str">
        <f>tabela_produkty[[#This Row],[has_discount]]</f>
        <v>NIE</v>
      </c>
      <c r="G252" s="32" t="str" cm="1">
        <f t="array" ref="G252">_xlfn.IFS(E252=0,"Brak sprzedaży",E252&lt;=500,"Niski",E252&lt;=5000,"Średni",E252&gt;5000,"Wysoki")</f>
        <v>Średni</v>
      </c>
    </row>
    <row r="253" spans="1:7" x14ac:dyDescent="0.2">
      <c r="A253" s="15">
        <f>tabela_produkty[[#This Row],[product_id]]</f>
        <v>10</v>
      </c>
      <c r="B253" s="12" t="str">
        <f>tabela_produkty[[#This Row],[product_name]]</f>
        <v>Air Fryer Max</v>
      </c>
      <c r="C253" s="12" t="str">
        <f>tabela_produkty[[#This Row],[category_name]]</f>
        <v>Home &amp; Kitchen</v>
      </c>
      <c r="D253" s="10">
        <f>tabela_produkty[[#This Row],[total_quantity]]</f>
        <v>13</v>
      </c>
      <c r="E253" s="13">
        <f>tabela_produkty[[#This Row],[total_revenue]]</f>
        <v>3092.4</v>
      </c>
      <c r="F253" s="12" t="str">
        <f>tabela_produkty[[#This Row],[has_discount]]</f>
        <v>NIE</v>
      </c>
      <c r="G253" s="32" t="str" cm="1">
        <f t="array" ref="G253">_xlfn.IFS(E253=0,"Brak sprzedaży",E253&lt;=500,"Niski",E253&lt;=5000,"Średni",E253&gt;5000,"Wysoki")</f>
        <v>Średni</v>
      </c>
    </row>
    <row r="254" spans="1:7" x14ac:dyDescent="0.2">
      <c r="A254" s="15">
        <f>tabela_produkty[[#This Row],[product_id]]</f>
        <v>34</v>
      </c>
      <c r="B254" s="12" t="str">
        <f>tabela_produkty[[#This Row],[product_name]]</f>
        <v>RC Car Turbo</v>
      </c>
      <c r="C254" s="12" t="str">
        <f>tabela_produkty[[#This Row],[category_name]]</f>
        <v>Toys</v>
      </c>
      <c r="D254" s="10">
        <f>tabela_produkty[[#This Row],[total_quantity]]</f>
        <v>11</v>
      </c>
      <c r="E254" s="13">
        <f>tabela_produkty[[#This Row],[total_revenue]]</f>
        <v>2689</v>
      </c>
      <c r="F254" s="12" t="str">
        <f>tabela_produkty[[#This Row],[has_discount]]</f>
        <v>NIE</v>
      </c>
      <c r="G254" s="32" t="str" cm="1">
        <f t="array" ref="G254">_xlfn.IFS(E254=0,"Brak sprzedaży",E254&lt;=500,"Niski",E254&lt;=5000,"Średni",E254&gt;5000,"Wysoki")</f>
        <v>Średni</v>
      </c>
    </row>
    <row r="255" spans="1:7" x14ac:dyDescent="0.2">
      <c r="A255" s="15">
        <f>tabela_produkty[[#This Row],[product_id]]</f>
        <v>3</v>
      </c>
      <c r="B255" s="12" t="str">
        <f>tabela_produkty[[#This Row],[product_name]]</f>
        <v>Bluetooth Speaker Mini</v>
      </c>
      <c r="C255" s="12" t="str">
        <f>tabela_produkty[[#This Row],[category_name]]</f>
        <v>Electronics</v>
      </c>
      <c r="D255" s="10">
        <f>tabela_produkty[[#This Row],[total_quantity]]</f>
        <v>30</v>
      </c>
      <c r="E255" s="13">
        <f>tabela_produkty[[#This Row],[total_revenue]]</f>
        <v>2639.46</v>
      </c>
      <c r="F255" s="12" t="str">
        <f>tabela_produkty[[#This Row],[has_discount]]</f>
        <v>TAK</v>
      </c>
      <c r="G255" s="32" t="str" cm="1">
        <f t="array" ref="G255">_xlfn.IFS(E255=0,"Brak sprzedaży",E255&lt;=500,"Niski",E255&lt;=5000,"Średni",E255&gt;5000,"Wysoki")</f>
        <v>Średni</v>
      </c>
    </row>
    <row r="256" spans="1:7" x14ac:dyDescent="0.2">
      <c r="A256" s="15">
        <f>tabela_produkty[[#This Row],[product_id]]</f>
        <v>9</v>
      </c>
      <c r="B256" s="12" t="str">
        <f>tabela_produkty[[#This Row],[product_name]]</f>
        <v>Blender Pro 500</v>
      </c>
      <c r="C256" s="12" t="str">
        <f>tabela_produkty[[#This Row],[category_name]]</f>
        <v>Home &amp; Kitchen</v>
      </c>
      <c r="D256" s="10">
        <f>tabela_produkty[[#This Row],[total_quantity]]</f>
        <v>26</v>
      </c>
      <c r="E256" s="13">
        <f>tabela_produkty[[#This Row],[total_revenue]]</f>
        <v>2538.15</v>
      </c>
      <c r="F256" s="12" t="str">
        <f>tabela_produkty[[#This Row],[has_discount]]</f>
        <v>TAK</v>
      </c>
      <c r="G256" s="32" t="str" cm="1">
        <f t="array" ref="G256">_xlfn.IFS(E256=0,"Brak sprzedaży",E256&lt;=500,"Niski",E256&lt;=5000,"Średni",E256&gt;5000,"Wysoki")</f>
        <v>Średni</v>
      </c>
    </row>
    <row r="257" spans="1:7" x14ac:dyDescent="0.2">
      <c r="A257" s="15">
        <f>tabela_produkty[[#This Row],[product_id]]</f>
        <v>19</v>
      </c>
      <c r="B257" s="12" t="str">
        <f>tabela_produkty[[#This Row],[product_name]]</f>
        <v>Fitness Dumbbells Set</v>
      </c>
      <c r="C257" s="12" t="str">
        <f>tabela_produkty[[#This Row],[category_name]]</f>
        <v>Sports &amp; Outdoors</v>
      </c>
      <c r="D257" s="10">
        <f>tabela_produkty[[#This Row],[total_quantity]]</f>
        <v>12</v>
      </c>
      <c r="E257" s="13">
        <f>tabela_produkty[[#This Row],[total_revenue]]</f>
        <v>2388</v>
      </c>
      <c r="F257" s="12" t="str">
        <f>tabela_produkty[[#This Row],[has_discount]]</f>
        <v>NIE</v>
      </c>
      <c r="G257" s="32" t="str" cm="1">
        <f t="array" ref="G257">_xlfn.IFS(E257=0,"Brak sprzedaży",E257&lt;=500,"Niski",E257&lt;=5000,"Średni",E257&gt;5000,"Wysoki")</f>
        <v>Średni</v>
      </c>
    </row>
    <row r="258" spans="1:7" x14ac:dyDescent="0.2">
      <c r="A258" s="15">
        <f>tabela_produkty[[#This Row],[product_id]]</f>
        <v>13</v>
      </c>
      <c r="B258" s="12" t="str">
        <f>tabela_produkty[[#This Row],[product_name]]</f>
        <v>Stainless Cookware 5pcs</v>
      </c>
      <c r="C258" s="12" t="str">
        <f>tabela_produkty[[#This Row],[category_name]]</f>
        <v>Home &amp; Kitchen</v>
      </c>
      <c r="D258" s="10">
        <f>tabela_produkty[[#This Row],[total_quantity]]</f>
        <v>11</v>
      </c>
      <c r="E258" s="13">
        <f>tabela_produkty[[#This Row],[total_revenue]]</f>
        <v>2209.9499999999998</v>
      </c>
      <c r="F258" s="12" t="str">
        <f>tabela_produkty[[#This Row],[has_discount]]</f>
        <v>TAK</v>
      </c>
      <c r="G258" s="32" t="str" cm="1">
        <f t="array" ref="G258">_xlfn.IFS(E258=0,"Brak sprzedaży",E258&lt;=500,"Niski",E258&lt;=5000,"Średni",E258&gt;5000,"Wysoki")</f>
        <v>Średni</v>
      </c>
    </row>
    <row r="259" spans="1:7" x14ac:dyDescent="0.2">
      <c r="A259" s="15">
        <f>tabela_produkty[[#This Row],[product_id]]</f>
        <v>21</v>
      </c>
      <c r="B259" s="12" t="str">
        <f>tabela_produkty[[#This Row],[product_name]]</f>
        <v>Novel "The Lost Path"</v>
      </c>
      <c r="C259" s="12" t="str">
        <f>tabela_produkty[[#This Row],[category_name]]</f>
        <v>Books</v>
      </c>
      <c r="D259" s="10">
        <f>tabela_produkty[[#This Row],[total_quantity]]</f>
        <v>16</v>
      </c>
      <c r="E259" s="13">
        <f>tabela_produkty[[#This Row],[total_revenue]]</f>
        <v>1903.26</v>
      </c>
      <c r="F259" s="12" t="str">
        <f>tabela_produkty[[#This Row],[has_discount]]</f>
        <v>TAK</v>
      </c>
      <c r="G259" s="32" t="str" cm="1">
        <f t="array" ref="G259">_xlfn.IFS(E259=0,"Brak sprzedaży",E259&lt;=500,"Niski",E259&lt;=5000,"Średni",E259&gt;5000,"Wysoki")</f>
        <v>Średni</v>
      </c>
    </row>
    <row r="260" spans="1:7" x14ac:dyDescent="0.2">
      <c r="A260" s="15">
        <f>tabela_produkty[[#This Row],[product_id]]</f>
        <v>22</v>
      </c>
      <c r="B260" s="12" t="str">
        <f>tabela_produkty[[#This Row],[product_name]]</f>
        <v>Children Story Book</v>
      </c>
      <c r="C260" s="12" t="str">
        <f>tabela_produkty[[#This Row],[category_name]]</f>
        <v>Books</v>
      </c>
      <c r="D260" s="10">
        <f>tabela_produkty[[#This Row],[total_quantity]]</f>
        <v>32</v>
      </c>
      <c r="E260" s="13">
        <f>tabela_produkty[[#This Row],[total_revenue]]</f>
        <v>1764.8</v>
      </c>
      <c r="F260" s="12" t="str">
        <f>tabela_produkty[[#This Row],[has_discount]]</f>
        <v>NIE</v>
      </c>
      <c r="G260" s="32" t="str" cm="1">
        <f t="array" ref="G260">_xlfn.IFS(E260=0,"Brak sprzedaży",E260&lt;=500,"Niski",E260&lt;=5000,"Średni",E260&gt;5000,"Wysoki")</f>
        <v>Średni</v>
      </c>
    </row>
    <row r="261" spans="1:7" x14ac:dyDescent="0.2">
      <c r="A261" s="15">
        <f>tabela_produkty[[#This Row],[product_id]]</f>
        <v>8</v>
      </c>
      <c r="B261" s="12" t="str">
        <f>tabela_produkty[[#This Row],[product_name]]</f>
        <v>Electric Kettle Steel</v>
      </c>
      <c r="C261" s="12" t="str">
        <f>tabela_produkty[[#This Row],[category_name]]</f>
        <v>Home &amp; Kitchen</v>
      </c>
      <c r="D261" s="10">
        <f>tabela_produkty[[#This Row],[total_quantity]]</f>
        <v>22</v>
      </c>
      <c r="E261" s="13">
        <f>tabela_produkty[[#This Row],[total_revenue]]</f>
        <v>1749.81</v>
      </c>
      <c r="F261" s="12" t="str">
        <f>tabela_produkty[[#This Row],[has_discount]]</f>
        <v>TAK</v>
      </c>
      <c r="G261" s="32" t="str" cm="1">
        <f t="array" ref="G261">_xlfn.IFS(E261=0,"Brak sprzedaży",E261&lt;=500,"Niski",E261&lt;=5000,"Średni",E261&gt;5000,"Wysoki")</f>
        <v>Średni</v>
      </c>
    </row>
    <row r="262" spans="1:7" x14ac:dyDescent="0.2">
      <c r="A262" s="15">
        <f>tabela_produkty[[#This Row],[product_id]]</f>
        <v>43</v>
      </c>
      <c r="B262" s="12" t="str">
        <f>tabela_produkty[[#This Row],[product_name]]</f>
        <v>Office Chair Ergo</v>
      </c>
      <c r="C262" s="12" t="str">
        <f>tabela_produkty[[#This Row],[category_name]]</f>
        <v>Office Supplies</v>
      </c>
      <c r="D262" s="10">
        <f>tabela_produkty[[#This Row],[total_quantity]]</f>
        <v>2</v>
      </c>
      <c r="E262" s="13">
        <f>tabela_produkty[[#This Row],[total_revenue]]</f>
        <v>1398</v>
      </c>
      <c r="F262" s="12" t="str">
        <f>tabela_produkty[[#This Row],[has_discount]]</f>
        <v>NIE</v>
      </c>
      <c r="G262" s="32" t="str" cm="1">
        <f t="array" ref="G262">_xlfn.IFS(E262=0,"Brak sprzedaży",E262&lt;=500,"Niski",E262&lt;=5000,"Średni",E262&gt;5000,"Wysoki")</f>
        <v>Średni</v>
      </c>
    </row>
    <row r="263" spans="1:7" x14ac:dyDescent="0.2">
      <c r="A263" s="15">
        <f>tabela_produkty[[#This Row],[product_id]]</f>
        <v>39</v>
      </c>
      <c r="B263" s="12" t="str">
        <f>tabela_produkty[[#This Row],[product_name]]</f>
        <v>Electric Hedge Trimmer</v>
      </c>
      <c r="C263" s="12" t="str">
        <f>tabela_produkty[[#This Row],[category_name]]</f>
        <v>Garden</v>
      </c>
      <c r="D263" s="10">
        <f>tabela_produkty[[#This Row],[total_quantity]]</f>
        <v>4</v>
      </c>
      <c r="E263" s="13">
        <f>tabela_produkty[[#This Row],[total_revenue]]</f>
        <v>1396</v>
      </c>
      <c r="F263" s="12" t="str">
        <f>tabela_produkty[[#This Row],[has_discount]]</f>
        <v>NIE</v>
      </c>
      <c r="G263" s="32" t="str" cm="1">
        <f t="array" ref="G263">_xlfn.IFS(E263=0,"Brak sprzedaży",E263&lt;=500,"Niski",E263&lt;=5000,"Średni",E263&gt;5000,"Wysoki")</f>
        <v>Średni</v>
      </c>
    </row>
    <row r="264" spans="1:7" x14ac:dyDescent="0.2">
      <c r="A264" s="15">
        <f>tabela_produkty[[#This Row],[product_id]]</f>
        <v>27</v>
      </c>
      <c r="B264" s="12" t="str">
        <f>tabela_produkty[[#This Row],[product_name]]</f>
        <v>Face Cream Hydra</v>
      </c>
      <c r="C264" s="12" t="str">
        <f>tabela_produkty[[#This Row],[category_name]]</f>
        <v>Beauty</v>
      </c>
      <c r="D264" s="10">
        <f>tabela_produkty[[#This Row],[total_quantity]]</f>
        <v>39</v>
      </c>
      <c r="E264" s="13">
        <f>tabela_produkty[[#This Row],[total_revenue]]</f>
        <v>1288.6300000000001</v>
      </c>
      <c r="F264" s="12" t="str">
        <f>tabela_produkty[[#This Row],[has_discount]]</f>
        <v>NIE</v>
      </c>
      <c r="G264" s="32" t="str" cm="1">
        <f t="array" ref="G264">_xlfn.IFS(E264=0,"Brak sprzedaży",E264&lt;=500,"Niski",E264&lt;=5000,"Średni",E264&gt;5000,"Wysoki")</f>
        <v>Średni</v>
      </c>
    </row>
    <row r="265" spans="1:7" x14ac:dyDescent="0.2">
      <c r="A265" s="15">
        <f>tabela_produkty[[#This Row],[product_id]]</f>
        <v>30</v>
      </c>
      <c r="B265" s="12" t="str">
        <f>tabela_produkty[[#This Row],[product_name]]</f>
        <v>Hair Conditioner Silk</v>
      </c>
      <c r="C265" s="12" t="str">
        <f>tabela_produkty[[#This Row],[category_name]]</f>
        <v>Beauty</v>
      </c>
      <c r="D265" s="10">
        <f>tabela_produkty[[#This Row],[total_quantity]]</f>
        <v>17</v>
      </c>
      <c r="E265" s="13">
        <f>tabela_produkty[[#This Row],[total_revenue]]</f>
        <v>1209.3</v>
      </c>
      <c r="F265" s="12" t="str">
        <f>tabela_produkty[[#This Row],[has_discount]]</f>
        <v>NIE</v>
      </c>
      <c r="G265" s="32" t="str" cm="1">
        <f t="array" ref="G265">_xlfn.IFS(E265=0,"Brak sprzedaży",E265&lt;=500,"Niski",E265&lt;=5000,"Średni",E265&gt;5000,"Wysoki")</f>
        <v>Średni</v>
      </c>
    </row>
    <row r="266" spans="1:7" x14ac:dyDescent="0.2">
      <c r="A266" s="15">
        <f>tabela_produkty[[#This Row],[product_id]]</f>
        <v>17</v>
      </c>
      <c r="B266" s="12" t="str">
        <f>tabela_produkty[[#This Row],[product_name]]</f>
        <v>Running Shoes Pro</v>
      </c>
      <c r="C266" s="12" t="str">
        <f>tabela_produkty[[#This Row],[category_name]]</f>
        <v>Sports &amp; Outdoors</v>
      </c>
      <c r="D266" s="10">
        <f>tabela_produkty[[#This Row],[total_quantity]]</f>
        <v>3</v>
      </c>
      <c r="E266" s="13">
        <f>tabela_produkty[[#This Row],[total_revenue]]</f>
        <v>1197</v>
      </c>
      <c r="F266" s="12" t="str">
        <f>tabela_produkty[[#This Row],[has_discount]]</f>
        <v>NIE</v>
      </c>
      <c r="G266" s="32" t="str" cm="1">
        <f t="array" ref="G266">_xlfn.IFS(E266=0,"Brak sprzedaży",E266&lt;=500,"Niski",E266&lt;=5000,"Średni",E266&gt;5000,"Wysoki")</f>
        <v>Średni</v>
      </c>
    </row>
    <row r="267" spans="1:7" x14ac:dyDescent="0.2">
      <c r="A267" s="15">
        <f>tabela_produkty[[#This Row],[product_id]]</f>
        <v>25</v>
      </c>
      <c r="B267" s="12" t="str">
        <f>tabela_produkty[[#This Row],[product_name]]</f>
        <v>Cookbook: Healthy Meals</v>
      </c>
      <c r="C267" s="12" t="str">
        <f>tabela_produkty[[#This Row],[category_name]]</f>
        <v>Books</v>
      </c>
      <c r="D267" s="10">
        <f>tabela_produkty[[#This Row],[total_quantity]]</f>
        <v>17</v>
      </c>
      <c r="E267" s="13">
        <f>tabela_produkty[[#This Row],[total_revenue]]</f>
        <v>1110.2</v>
      </c>
      <c r="F267" s="12" t="str">
        <f>tabela_produkty[[#This Row],[has_discount]]</f>
        <v>NIE</v>
      </c>
      <c r="G267" s="32" t="str" cm="1">
        <f t="array" ref="G267">_xlfn.IFS(E267=0,"Brak sprzedaży",E267&lt;=500,"Niski",E267&lt;=5000,"Średni",E267&gt;5000,"Wysoki")</f>
        <v>Średni</v>
      </c>
    </row>
    <row r="268" spans="1:7" x14ac:dyDescent="0.2">
      <c r="A268" s="15">
        <f>tabela_produkty[[#This Row],[product_id]]</f>
        <v>31</v>
      </c>
      <c r="B268" s="12" t="str">
        <f>tabela_produkty[[#This Row],[product_name]]</f>
        <v>Nail Polish Pink</v>
      </c>
      <c r="C268" s="12" t="str">
        <f>tabela_produkty[[#This Row],[category_name]]</f>
        <v>Beauty</v>
      </c>
      <c r="D268" s="10">
        <f>tabela_produkty[[#This Row],[total_quantity]]</f>
        <v>18</v>
      </c>
      <c r="E268" s="13">
        <f>tabela_produkty[[#This Row],[total_revenue]]</f>
        <v>1049.92</v>
      </c>
      <c r="F268" s="12" t="str">
        <f>tabela_produkty[[#This Row],[has_discount]]</f>
        <v>NIE</v>
      </c>
      <c r="G268" s="32" t="str" cm="1">
        <f t="array" ref="G268">_xlfn.IFS(E268=0,"Brak sprzedaży",E268&lt;=500,"Niski",E268&lt;=5000,"Średni",E268&gt;5000,"Wysoki")</f>
        <v>Średni</v>
      </c>
    </row>
    <row r="269" spans="1:7" x14ac:dyDescent="0.2">
      <c r="A269" s="15">
        <f>tabela_produkty[[#This Row],[product_id]]</f>
        <v>12</v>
      </c>
      <c r="B269" s="12" t="str">
        <f>tabela_produkty[[#This Row],[product_name]]</f>
        <v>Ceramic Plate Set</v>
      </c>
      <c r="C269" s="12" t="str">
        <f>tabela_produkty[[#This Row],[category_name]]</f>
        <v>Home &amp; Kitchen</v>
      </c>
      <c r="D269" s="10">
        <f>tabela_produkty[[#This Row],[total_quantity]]</f>
        <v>10</v>
      </c>
      <c r="E269" s="13">
        <f>tabela_produkty[[#This Row],[total_revenue]]</f>
        <v>693</v>
      </c>
      <c r="F269" s="12" t="str">
        <f>tabela_produkty[[#This Row],[has_discount]]</f>
        <v>NIE</v>
      </c>
      <c r="G269" s="32" t="str" cm="1">
        <f t="array" ref="G269">_xlfn.IFS(E269=0,"Brak sprzedaży",E269&lt;=500,"Niski",E269&lt;=5000,"Średni",E269&gt;5000,"Wysoki")</f>
        <v>Średni</v>
      </c>
    </row>
    <row r="270" spans="1:7" x14ac:dyDescent="0.2">
      <c r="A270" s="15">
        <f>tabela_produkty[[#This Row],[product_id]]</f>
        <v>18</v>
      </c>
      <c r="B270" s="12" t="str">
        <f>tabela_produkty[[#This Row],[product_name]]</f>
        <v>Hiking Backpack 50L</v>
      </c>
      <c r="C270" s="12" t="str">
        <f>tabela_produkty[[#This Row],[category_name]]</f>
        <v>Sports &amp; Outdoors</v>
      </c>
      <c r="D270" s="10">
        <f>tabela_produkty[[#This Row],[total_quantity]]</f>
        <v>2</v>
      </c>
      <c r="E270" s="13">
        <f>tabela_produkty[[#This Row],[total_revenue]]</f>
        <v>648</v>
      </c>
      <c r="F270" s="12" t="str">
        <f>tabela_produkty[[#This Row],[has_discount]]</f>
        <v>NIE</v>
      </c>
      <c r="G270" s="32" t="str" cm="1">
        <f t="array" ref="G270">_xlfn.IFS(E270=0,"Brak sprzedaży",E270&lt;=500,"Niski",E270&lt;=5000,"Średni",E270&gt;5000,"Wysoki")</f>
        <v>Średni</v>
      </c>
    </row>
    <row r="271" spans="1:7" x14ac:dyDescent="0.2">
      <c r="A271" s="15">
        <f>tabela_produkty[[#This Row],[product_id]]</f>
        <v>29</v>
      </c>
      <c r="B271" s="12" t="str">
        <f>tabela_produkty[[#This Row],[product_name]]</f>
        <v>Vitamin C Serum 20%</v>
      </c>
      <c r="C271" s="12" t="str">
        <f>tabela_produkty[[#This Row],[category_name]]</f>
        <v>Beauty</v>
      </c>
      <c r="D271" s="10">
        <f>tabela_produkty[[#This Row],[total_quantity]]</f>
        <v>5</v>
      </c>
      <c r="E271" s="13">
        <f>tabela_produkty[[#This Row],[total_revenue]]</f>
        <v>645</v>
      </c>
      <c r="F271" s="12" t="str">
        <f>tabela_produkty[[#This Row],[has_discount]]</f>
        <v>NIE</v>
      </c>
      <c r="G271" s="32" t="str" cm="1">
        <f t="array" ref="G271">_xlfn.IFS(E271=0,"Brak sprzedaży",E271&lt;=500,"Niski",E271&lt;=5000,"Średni",E271&gt;5000,"Wysoki")</f>
        <v>Średni</v>
      </c>
    </row>
    <row r="272" spans="1:7" x14ac:dyDescent="0.2">
      <c r="A272" s="15">
        <f>tabela_produkty[[#This Row],[product_id]]</f>
        <v>36</v>
      </c>
      <c r="B272" s="12" t="str">
        <f>tabela_produkty[[#This Row],[product_name]]</f>
        <v>Building Blocks Set 120pcs</v>
      </c>
      <c r="C272" s="12" t="str">
        <f>tabela_produkty[[#This Row],[category_name]]</f>
        <v>Toys</v>
      </c>
      <c r="D272" s="10">
        <f>tabela_produkty[[#This Row],[total_quantity]]</f>
        <v>7</v>
      </c>
      <c r="E272" s="13">
        <f>tabela_produkty[[#This Row],[total_revenue]]</f>
        <v>623</v>
      </c>
      <c r="F272" s="12" t="str">
        <f>tabela_produkty[[#This Row],[has_discount]]</f>
        <v>NIE</v>
      </c>
      <c r="G272" s="32" t="str" cm="1">
        <f t="array" ref="G272">_xlfn.IFS(E272=0,"Brak sprzedaży",E272&lt;=500,"Niski",E272&lt;=5000,"Średni",E272&gt;5000,"Wysoki")</f>
        <v>Średni</v>
      </c>
    </row>
    <row r="273" spans="1:7" x14ac:dyDescent="0.2">
      <c r="A273" s="15">
        <f>tabela_produkty[[#This Row],[product_id]]</f>
        <v>41</v>
      </c>
      <c r="B273" s="12" t="str">
        <f>tabela_produkty[[#This Row],[product_name]]</f>
        <v>Garden Chair Foldable</v>
      </c>
      <c r="C273" s="12" t="str">
        <f>tabela_produkty[[#This Row],[category_name]]</f>
        <v>Garden</v>
      </c>
      <c r="D273" s="10">
        <f>tabela_produkty[[#This Row],[total_quantity]]</f>
        <v>6</v>
      </c>
      <c r="E273" s="13">
        <f>tabela_produkty[[#This Row],[total_revenue]]</f>
        <v>534</v>
      </c>
      <c r="F273" s="12" t="str">
        <f>tabela_produkty[[#This Row],[has_discount]]</f>
        <v>NIE</v>
      </c>
      <c r="G273" s="32" t="str" cm="1">
        <f t="array" ref="G273">_xlfn.IFS(E273=0,"Brak sprzedaży",E273&lt;=500,"Niski",E273&lt;=5000,"Średni",E273&gt;5000,"Wysoki")</f>
        <v>Średni</v>
      </c>
    </row>
    <row r="274" spans="1:7" x14ac:dyDescent="0.2">
      <c r="A274" s="15">
        <f>tabela_produkty[[#This Row],[product_id]]</f>
        <v>33</v>
      </c>
      <c r="B274" s="12" t="str">
        <f>tabela_produkty[[#This Row],[product_name]]</f>
        <v>Puzzle 1000 pcs</v>
      </c>
      <c r="C274" s="12" t="str">
        <f>tabela_produkty[[#This Row],[category_name]]</f>
        <v>Toys</v>
      </c>
      <c r="D274" s="10">
        <f>tabela_produkty[[#This Row],[total_quantity]]</f>
        <v>22</v>
      </c>
      <c r="E274" s="13">
        <f>tabela_produkty[[#This Row],[total_revenue]]</f>
        <v>514.83000000000004</v>
      </c>
      <c r="F274" s="12" t="str">
        <f>tabela_produkty[[#This Row],[has_discount]]</f>
        <v>NIE</v>
      </c>
      <c r="G274" s="32" t="str" cm="1">
        <f t="array" ref="G274">_xlfn.IFS(E274=0,"Brak sprzedaży",E274&lt;=500,"Niski",E274&lt;=5000,"Średni",E274&gt;5000,"Wysoki")</f>
        <v>Średni</v>
      </c>
    </row>
    <row r="275" spans="1:7" x14ac:dyDescent="0.2">
      <c r="A275" s="15">
        <f>tabela_produkty[[#This Row],[product_id]]</f>
        <v>42</v>
      </c>
      <c r="B275" s="12" t="str">
        <f>tabela_produkty[[#This Row],[product_name]]</f>
        <v>Solar Garden Light Set</v>
      </c>
      <c r="C275" s="12" t="str">
        <f>tabela_produkty[[#This Row],[category_name]]</f>
        <v>Garden</v>
      </c>
      <c r="D275" s="10">
        <f>tabela_produkty[[#This Row],[total_quantity]]</f>
        <v>4</v>
      </c>
      <c r="E275" s="13">
        <f>tabela_produkty[[#This Row],[total_revenue]]</f>
        <v>476</v>
      </c>
      <c r="F275" s="12" t="str">
        <f>tabela_produkty[[#This Row],[has_discount]]</f>
        <v>NIE</v>
      </c>
      <c r="G275" s="32" t="str" cm="1">
        <f t="array" ref="G275">_xlfn.IFS(E275=0,"Brak sprzedaży",E275&lt;=500,"Niski",E275&lt;=5000,"Średni",E275&gt;5000,"Wysoki")</f>
        <v>Niski</v>
      </c>
    </row>
    <row r="276" spans="1:7" x14ac:dyDescent="0.2">
      <c r="A276" s="15">
        <f>tabela_produkty[[#This Row],[product_id]]</f>
        <v>38</v>
      </c>
      <c r="B276" s="12" t="str">
        <f>tabela_produkty[[#This Row],[product_name]]</f>
        <v>Garden Hose 20m</v>
      </c>
      <c r="C276" s="12" t="str">
        <f>tabela_produkty[[#This Row],[category_name]]</f>
        <v>Garden</v>
      </c>
      <c r="D276" s="10">
        <f>tabela_produkty[[#This Row],[total_quantity]]</f>
        <v>6</v>
      </c>
      <c r="E276" s="13">
        <f>tabela_produkty[[#This Row],[total_revenue]]</f>
        <v>474</v>
      </c>
      <c r="F276" s="12" t="str">
        <f>tabela_produkty[[#This Row],[has_discount]]</f>
        <v>NIE</v>
      </c>
      <c r="G276" s="32" t="str" cm="1">
        <f t="array" ref="G276">_xlfn.IFS(E276=0,"Brak sprzedaży",E276&lt;=500,"Niski",E276&lt;=5000,"Średni",E276&gt;5000,"Wysoki")</f>
        <v>Niski</v>
      </c>
    </row>
    <row r="277" spans="1:7" x14ac:dyDescent="0.2">
      <c r="A277" s="15">
        <f>tabela_produkty[[#This Row],[product_id]]</f>
        <v>28</v>
      </c>
      <c r="B277" s="12" t="str">
        <f>tabela_produkty[[#This Row],[product_name]]</f>
        <v>Lipstick Matte Red</v>
      </c>
      <c r="C277" s="12" t="str">
        <f>tabela_produkty[[#This Row],[category_name]]</f>
        <v>Beauty</v>
      </c>
      <c r="D277" s="10">
        <f>tabela_produkty[[#This Row],[total_quantity]]</f>
        <v>10</v>
      </c>
      <c r="E277" s="13">
        <f>tabela_produkty[[#This Row],[total_revenue]]</f>
        <v>394.63</v>
      </c>
      <c r="F277" s="12" t="str">
        <f>tabela_produkty[[#This Row],[has_discount]]</f>
        <v>NIE</v>
      </c>
      <c r="G277" s="32" t="str" cm="1">
        <f t="array" ref="G277">_xlfn.IFS(E277=0,"Brak sprzedaży",E277&lt;=500,"Niski",E277&lt;=5000,"Średni",E277&gt;5000,"Wysoki")</f>
        <v>Niski</v>
      </c>
    </row>
    <row r="278" spans="1:7" x14ac:dyDescent="0.2">
      <c r="A278" s="15">
        <f>tabela_produkty[[#This Row],[product_id]]</f>
        <v>35</v>
      </c>
      <c r="B278" s="12" t="str">
        <f>tabela_produkty[[#This Row],[product_name]]</f>
        <v>Plush Bear Large</v>
      </c>
      <c r="C278" s="12" t="str">
        <f>tabela_produkty[[#This Row],[category_name]]</f>
        <v>Toys</v>
      </c>
      <c r="D278" s="10">
        <f>tabela_produkty[[#This Row],[total_quantity]]</f>
        <v>6</v>
      </c>
      <c r="E278" s="13">
        <f>tabela_produkty[[#This Row],[total_revenue]]</f>
        <v>359.4</v>
      </c>
      <c r="F278" s="12" t="str">
        <f>tabela_produkty[[#This Row],[has_discount]]</f>
        <v>NIE</v>
      </c>
      <c r="G278" s="32" t="str" cm="1">
        <f t="array" ref="G278">_xlfn.IFS(E278=0,"Brak sprzedaży",E278&lt;=500,"Niski",E278&lt;=5000,"Średni",E278&gt;5000,"Wysoki")</f>
        <v>Niski</v>
      </c>
    </row>
    <row r="279" spans="1:7" x14ac:dyDescent="0.2">
      <c r="A279" s="15">
        <f>tabela_produkty[[#This Row],[product_id]]</f>
        <v>23</v>
      </c>
      <c r="B279" s="12" t="str">
        <f>tabela_produkty[[#This Row],[product_name]]</f>
        <v>Fantasy Saga: Book 1</v>
      </c>
      <c r="C279" s="12" t="str">
        <f>tabela_produkty[[#This Row],[category_name]]</f>
        <v>Books</v>
      </c>
      <c r="D279" s="10">
        <f>tabela_produkty[[#This Row],[total_quantity]]</f>
        <v>6</v>
      </c>
      <c r="E279" s="13">
        <f>tabela_produkty[[#This Row],[total_revenue]]</f>
        <v>299.39999999999998</v>
      </c>
      <c r="F279" s="12" t="str">
        <f>tabela_produkty[[#This Row],[has_discount]]</f>
        <v>NIE</v>
      </c>
      <c r="G279" s="32" t="str" cm="1">
        <f t="array" ref="G279">_xlfn.IFS(E279=0,"Brak sprzedaży",E279&lt;=500,"Niski",E279&lt;=5000,"Średni",E279&gt;5000,"Wysoki")</f>
        <v>Niski</v>
      </c>
    </row>
    <row r="280" spans="1:7" x14ac:dyDescent="0.2">
      <c r="A280" s="15">
        <f>tabela_produkty[[#This Row],[product_id]]</f>
        <v>37</v>
      </c>
      <c r="B280" s="12" t="str">
        <f>tabela_produkty[[#This Row],[product_name]]</f>
        <v>Doll Princess Edition</v>
      </c>
      <c r="C280" s="12" t="str">
        <f>tabela_produkty[[#This Row],[category_name]]</f>
        <v>Toys</v>
      </c>
      <c r="D280" s="10">
        <f>tabela_produkty[[#This Row],[total_quantity]]</f>
        <v>5</v>
      </c>
      <c r="E280" s="13">
        <f>tabela_produkty[[#This Row],[total_revenue]]</f>
        <v>249.5</v>
      </c>
      <c r="F280" s="12" t="str">
        <f>tabela_produkty[[#This Row],[has_discount]]</f>
        <v>NIE</v>
      </c>
      <c r="G280" s="32" t="str" cm="1">
        <f t="array" ref="G280">_xlfn.IFS(E280=0,"Brak sprzedaży",E280&lt;=500,"Niski",E280&lt;=5000,"Średni",E280&gt;5000,"Wysoki")</f>
        <v>Niski</v>
      </c>
    </row>
    <row r="281" spans="1:7" x14ac:dyDescent="0.2">
      <c r="A281" s="15">
        <f>tabela_produkty[[#This Row],[product_id]]</f>
        <v>24</v>
      </c>
      <c r="B281" s="12" t="str">
        <f>tabela_produkty[[#This Row],[product_name]]</f>
        <v>Biography of Innovators</v>
      </c>
      <c r="C281" s="12" t="str">
        <f>tabela_produkty[[#This Row],[category_name]]</f>
        <v>Books</v>
      </c>
      <c r="D281" s="10">
        <f>tabela_produkty[[#This Row],[total_quantity]]</f>
        <v>4</v>
      </c>
      <c r="E281" s="13">
        <f>tabela_produkty[[#This Row],[total_revenue]]</f>
        <v>239.6</v>
      </c>
      <c r="F281" s="12" t="str">
        <f>tabela_produkty[[#This Row],[has_discount]]</f>
        <v>NIE</v>
      </c>
      <c r="G281" s="32" t="str" cm="1">
        <f t="array" ref="G281">_xlfn.IFS(E281=0,"Brak sprzedaży",E281&lt;=500,"Niski",E281&lt;=5000,"Średni",E281&gt;5000,"Wysoki")</f>
        <v>Niski</v>
      </c>
    </row>
    <row r="282" spans="1:7" x14ac:dyDescent="0.2">
      <c r="A282" s="15">
        <f>tabela_produkty[[#This Row],[product_id]]</f>
        <v>40</v>
      </c>
      <c r="B282" s="12" t="str">
        <f>tabela_produkty[[#This Row],[product_name]]</f>
        <v>Flower Pot Ceramic</v>
      </c>
      <c r="C282" s="12" t="str">
        <f>tabela_produkty[[#This Row],[category_name]]</f>
        <v>Garden</v>
      </c>
      <c r="D282" s="10">
        <f>tabela_produkty[[#This Row],[total_quantity]]</f>
        <v>8</v>
      </c>
      <c r="E282" s="13">
        <f>tabela_produkty[[#This Row],[total_revenue]]</f>
        <v>239.2</v>
      </c>
      <c r="F282" s="12" t="str">
        <f>tabela_produkty[[#This Row],[has_discount]]</f>
        <v>NIE</v>
      </c>
      <c r="G282" s="32" t="str" cm="1">
        <f t="array" ref="G282">_xlfn.IFS(E282=0,"Brak sprzedaży",E282&lt;=500,"Niski",E282&lt;=5000,"Średni",E282&gt;5000,"Wysoki")</f>
        <v>Niski</v>
      </c>
    </row>
    <row r="283" spans="1:7" x14ac:dyDescent="0.2">
      <c r="A283" s="15">
        <f>tabela_produkty[[#This Row],[product_id]]</f>
        <v>26</v>
      </c>
      <c r="B283" s="12" t="str">
        <f>tabela_produkty[[#This Row],[product_name]]</f>
        <v>Mystery Crime Novel</v>
      </c>
      <c r="C283" s="12" t="str">
        <f>tabela_produkty[[#This Row],[category_name]]</f>
        <v>Books</v>
      </c>
      <c r="D283" s="10">
        <f>tabela_produkty[[#This Row],[total_quantity]]</f>
        <v>4</v>
      </c>
      <c r="E283" s="13">
        <f>tabela_produkty[[#This Row],[total_revenue]]</f>
        <v>139.96</v>
      </c>
      <c r="F283" s="12" t="str">
        <f>tabela_produkty[[#This Row],[has_discount]]</f>
        <v>NIE</v>
      </c>
      <c r="G283" s="32" t="str" cm="1">
        <f t="array" ref="G283">_xlfn.IFS(E283=0,"Brak sprzedaży",E283&lt;=500,"Niski",E283&lt;=5000,"Średni",E283&gt;5000,"Wysoki")</f>
        <v>Niski</v>
      </c>
    </row>
    <row r="284" spans="1:7" x14ac:dyDescent="0.2">
      <c r="A284" s="15">
        <f>tabela_produkty[[#This Row],[product_id]]</f>
        <v>44</v>
      </c>
      <c r="B284" s="12" t="str">
        <f>tabela_produkty[[#This Row],[product_name]]</f>
        <v>Notebook A5 Lined</v>
      </c>
      <c r="C284" s="12" t="str">
        <f>tabela_produkty[[#This Row],[category_name]]</f>
        <v>Office Supplies</v>
      </c>
      <c r="D284" s="10">
        <f>tabela_produkty[[#This Row],[total_quantity]]</f>
        <v>4</v>
      </c>
      <c r="E284" s="13">
        <f>tabela_produkty[[#This Row],[total_revenue]]</f>
        <v>63.96</v>
      </c>
      <c r="F284" s="12" t="str">
        <f>tabela_produkty[[#This Row],[has_discount]]</f>
        <v>NIE</v>
      </c>
      <c r="G284" s="32" t="str" cm="1">
        <f t="array" ref="G284">_xlfn.IFS(E284=0,"Brak sprzedaży",E284&lt;=500,"Niski",E284&lt;=5000,"Średni",E284&gt;5000,"Wysoki")</f>
        <v>Niski</v>
      </c>
    </row>
    <row r="285" spans="1:7" x14ac:dyDescent="0.2">
      <c r="A285" s="15">
        <f>tabela_produkty[[#This Row],[product_id]]</f>
        <v>32</v>
      </c>
      <c r="B285" s="12" t="str">
        <f>tabela_produkty[[#This Row],[product_name]]</f>
        <v>Perfume Lux 50ml</v>
      </c>
      <c r="C285" s="12" t="str">
        <f>tabela_produkty[[#This Row],[category_name]]</f>
        <v>Beauty</v>
      </c>
      <c r="D285" s="10">
        <f>tabela_produkty[[#This Row],[total_quantity]]</f>
        <v>1</v>
      </c>
      <c r="E285" s="13">
        <f>tabela_produkty[[#This Row],[total_revenue]]</f>
        <v>29.99</v>
      </c>
      <c r="F285" s="12" t="str">
        <f>tabela_produkty[[#This Row],[has_discount]]</f>
        <v>NIE</v>
      </c>
      <c r="G285" s="32" t="str" cm="1">
        <f t="array" ref="G285">_xlfn.IFS(E285=0,"Brak sprzedaży",E285&lt;=500,"Niski",E285&lt;=5000,"Średni",E285&gt;5000,"Wysoki")</f>
        <v>Niski</v>
      </c>
    </row>
    <row r="286" spans="1:7" x14ac:dyDescent="0.2">
      <c r="A286" s="15">
        <f>tabela_produkty[[#This Row],[product_id]]</f>
        <v>45</v>
      </c>
      <c r="B286" s="12" t="str">
        <f>tabela_produkty[[#This Row],[product_name]]</f>
        <v>Ballpoint Pen Pack 10</v>
      </c>
      <c r="C286" s="12" t="str">
        <f>tabela_produkty[[#This Row],[category_name]]</f>
        <v>Office Supplies</v>
      </c>
      <c r="D286" s="10">
        <f>tabela_produkty[[#This Row],[total_quantity]]</f>
        <v>3</v>
      </c>
      <c r="E286" s="13">
        <f>tabela_produkty[[#This Row],[total_revenue]]</f>
        <v>29.7</v>
      </c>
      <c r="F286" s="12" t="str">
        <f>tabela_produkty[[#This Row],[has_discount]]</f>
        <v>NIE</v>
      </c>
      <c r="G286" s="32" t="str" cm="1">
        <f t="array" ref="G286">_xlfn.IFS(E286=0,"Brak sprzedaży",E286&lt;=500,"Niski",E286&lt;=5000,"Średni",E286&gt;5000,"Wysoki")</f>
        <v>Niski</v>
      </c>
    </row>
    <row r="287" spans="1:7" x14ac:dyDescent="0.2">
      <c r="A287" s="15">
        <f>tabela_produkty[[#This Row],[product_id]]</f>
        <v>54</v>
      </c>
      <c r="B287" s="12" t="str">
        <f>tabela_produkty[[#This Row],[product_name]]</f>
        <v>Toy Robot Simple</v>
      </c>
      <c r="C287" s="12" t="str">
        <f>tabela_produkty[[#This Row],[category_name]]</f>
        <v>Toys</v>
      </c>
      <c r="D287" s="10">
        <f>tabela_produkty[[#This Row],[total_quantity]]</f>
        <v>0</v>
      </c>
      <c r="E287" s="13">
        <f>tabela_produkty[[#This Row],[total_revenue]]</f>
        <v>0</v>
      </c>
      <c r="F287" s="12" t="str">
        <f>tabela_produkty[[#This Row],[has_discount]]</f>
        <v>NIE</v>
      </c>
      <c r="G287" s="32" t="str" cm="1">
        <f t="array" ref="G287">_xlfn.IFS(E287=0,"Brak sprzedaży",E287&lt;=500,"Niski",E287&lt;=5000,"Średni",E287&gt;5000,"Wysoki")</f>
        <v>Brak sprzedaży</v>
      </c>
    </row>
    <row r="288" spans="1:7" x14ac:dyDescent="0.2">
      <c r="A288" s="15">
        <f>tabela_produkty[[#This Row],[product_id]]</f>
        <v>49</v>
      </c>
      <c r="B288" s="12" t="str">
        <f>tabela_produkty[[#This Row],[product_name]]</f>
        <v>VR Headset Basic</v>
      </c>
      <c r="C288" s="12" t="str">
        <f>tabela_produkty[[#This Row],[category_name]]</f>
        <v>Electronics</v>
      </c>
      <c r="D288" s="10">
        <f>tabela_produkty[[#This Row],[total_quantity]]</f>
        <v>0</v>
      </c>
      <c r="E288" s="13">
        <f>tabela_produkty[[#This Row],[total_revenue]]</f>
        <v>0</v>
      </c>
      <c r="F288" s="12" t="str">
        <f>tabela_produkty[[#This Row],[has_discount]]</f>
        <v>NIE</v>
      </c>
      <c r="G288" s="32" t="str" cm="1">
        <f t="array" ref="G288">_xlfn.IFS(E288=0,"Brak sprzedaży",E288&lt;=500,"Niski",E288&lt;=5000,"Średni",E288&gt;5000,"Wysoki")</f>
        <v>Brak sprzedaży</v>
      </c>
    </row>
    <row r="289" spans="1:7" x14ac:dyDescent="0.2">
      <c r="A289" s="15">
        <f>tabela_produkty[[#This Row],[product_id]]</f>
        <v>53</v>
      </c>
      <c r="B289" s="12" t="str">
        <f>tabela_produkty[[#This Row],[product_name]]</f>
        <v>Herbal Shampoo Aloe</v>
      </c>
      <c r="C289" s="12" t="str">
        <f>tabela_produkty[[#This Row],[category_name]]</f>
        <v>Beauty</v>
      </c>
      <c r="D289" s="10">
        <f>tabela_produkty[[#This Row],[total_quantity]]</f>
        <v>0</v>
      </c>
      <c r="E289" s="13">
        <f>tabela_produkty[[#This Row],[total_revenue]]</f>
        <v>0</v>
      </c>
      <c r="F289" s="12" t="str">
        <f>tabela_produkty[[#This Row],[has_discount]]</f>
        <v>NIE</v>
      </c>
      <c r="G289" s="32" t="str" cm="1">
        <f t="array" ref="G289">_xlfn.IFS(E289=0,"Brak sprzedaży",E289&lt;=500,"Niski",E289&lt;=5000,"Średni",E289&gt;5000,"Wysoki")</f>
        <v>Brak sprzedaży</v>
      </c>
    </row>
    <row r="290" spans="1:7" x14ac:dyDescent="0.2">
      <c r="A290" s="15">
        <f>tabela_produkty[[#This Row],[product_id]]</f>
        <v>52</v>
      </c>
      <c r="B290" s="12" t="str">
        <f>tabela_produkty[[#This Row],[product_name]]</f>
        <v>Romance Novel Bestseller</v>
      </c>
      <c r="C290" s="12" t="str">
        <f>tabela_produkty[[#This Row],[category_name]]</f>
        <v>Books</v>
      </c>
      <c r="D290" s="10">
        <f>tabela_produkty[[#This Row],[total_quantity]]</f>
        <v>0</v>
      </c>
      <c r="E290" s="13">
        <f>tabela_produkty[[#This Row],[total_revenue]]</f>
        <v>0</v>
      </c>
      <c r="F290" s="12" t="str">
        <f>tabela_produkty[[#This Row],[has_discount]]</f>
        <v>NIE</v>
      </c>
      <c r="G290" s="32" t="str" cm="1">
        <f t="array" ref="G290">_xlfn.IFS(E290=0,"Brak sprzedaży",E290&lt;=500,"Niski",E290&lt;=5000,"Średni",E290&gt;5000,"Wysoki")</f>
        <v>Brak sprzedaży</v>
      </c>
    </row>
    <row r="291" spans="1:7" x14ac:dyDescent="0.2">
      <c r="A291" s="15">
        <f>tabela_produkty[[#This Row],[product_id]]</f>
        <v>46</v>
      </c>
      <c r="B291" s="12" t="str">
        <f>tabela_produkty[[#This Row],[product_name]]</f>
        <v>Desk Lamp LED</v>
      </c>
      <c r="C291" s="12" t="str">
        <f>tabela_produkty[[#This Row],[category_name]]</f>
        <v>Office Supplies</v>
      </c>
      <c r="D291" s="10">
        <f>tabela_produkty[[#This Row],[total_quantity]]</f>
        <v>0</v>
      </c>
      <c r="E291" s="13">
        <f>tabela_produkty[[#This Row],[total_revenue]]</f>
        <v>0</v>
      </c>
      <c r="F291" s="12" t="str">
        <f>tabela_produkty[[#This Row],[has_discount]]</f>
        <v>NIE</v>
      </c>
      <c r="G291" s="32" t="str" cm="1">
        <f t="array" ref="G291">_xlfn.IFS(E291=0,"Brak sprzedaży",E291&lt;=500,"Niski",E291&lt;=5000,"Średni",E291&gt;5000,"Wysoki")</f>
        <v>Brak sprzedaży</v>
      </c>
    </row>
    <row r="292" spans="1:7" x14ac:dyDescent="0.2">
      <c r="A292" s="15">
        <f>tabela_produkty[[#This Row],[product_id]]</f>
        <v>51</v>
      </c>
      <c r="B292" s="12" t="str">
        <f>tabela_produkty[[#This Row],[product_name]]</f>
        <v>Camping Stove Mini</v>
      </c>
      <c r="C292" s="12" t="str">
        <f>tabela_produkty[[#This Row],[category_name]]</f>
        <v>Sports &amp; Outdoors</v>
      </c>
      <c r="D292" s="10">
        <f>tabela_produkty[[#This Row],[total_quantity]]</f>
        <v>0</v>
      </c>
      <c r="E292" s="13">
        <f>tabela_produkty[[#This Row],[total_revenue]]</f>
        <v>0</v>
      </c>
      <c r="F292" s="12" t="str">
        <f>tabela_produkty[[#This Row],[has_discount]]</f>
        <v>NIE</v>
      </c>
      <c r="G292" s="32" t="str" cm="1">
        <f t="array" ref="G292">_xlfn.IFS(E292=0,"Brak sprzedaży",E292&lt;=500,"Niski",E292&lt;=5000,"Średni",E292&gt;5000,"Wysoki")</f>
        <v>Brak sprzedaży</v>
      </c>
    </row>
    <row r="293" spans="1:7" x14ac:dyDescent="0.2">
      <c r="A293" s="15">
        <f>tabela_produkty[[#This Row],[product_id]]</f>
        <v>50</v>
      </c>
      <c r="B293" s="12" t="str">
        <f>tabela_produkty[[#This Row],[product_name]]</f>
        <v>Air Purifier Home</v>
      </c>
      <c r="C293" s="12" t="str">
        <f>tabela_produkty[[#This Row],[category_name]]</f>
        <v>Home &amp; Kitchen</v>
      </c>
      <c r="D293" s="10">
        <f>tabela_produkty[[#This Row],[total_quantity]]</f>
        <v>0</v>
      </c>
      <c r="E293" s="13">
        <f>tabela_produkty[[#This Row],[total_revenue]]</f>
        <v>0</v>
      </c>
      <c r="F293" s="12" t="str">
        <f>tabela_produkty[[#This Row],[has_discount]]</f>
        <v>NIE</v>
      </c>
      <c r="G293" s="32" t="str" cm="1">
        <f t="array" ref="G293">_xlfn.IFS(E293=0,"Brak sprzedaży",E293&lt;=500,"Niski",E293&lt;=5000,"Średni",E293&gt;5000,"Wysoki")</f>
        <v>Brak sprzedaży</v>
      </c>
    </row>
    <row r="294" spans="1:7" x14ac:dyDescent="0.2">
      <c r="A294" s="15">
        <f>tabela_produkty[[#This Row],[product_id]]</f>
        <v>47</v>
      </c>
      <c r="B294" s="12" t="str">
        <f>tabela_produkty[[#This Row],[product_name]]</f>
        <v>Paper Ream A4</v>
      </c>
      <c r="C294" s="12" t="str">
        <f>tabela_produkty[[#This Row],[category_name]]</f>
        <v>Office Supplies</v>
      </c>
      <c r="D294" s="10">
        <f>tabela_produkty[[#This Row],[total_quantity]]</f>
        <v>0</v>
      </c>
      <c r="E294" s="13">
        <f>tabela_produkty[[#This Row],[total_revenue]]</f>
        <v>0</v>
      </c>
      <c r="F294" s="12" t="str">
        <f>tabela_produkty[[#This Row],[has_discount]]</f>
        <v>NIE</v>
      </c>
      <c r="G294" s="32" t="str" cm="1">
        <f t="array" ref="G294">_xlfn.IFS(E294=0,"Brak sprzedaży",E294&lt;=500,"Niski",E294&lt;=5000,"Średni",E294&gt;5000,"Wysoki")</f>
        <v>Brak sprzedaży</v>
      </c>
    </row>
    <row r="295" spans="1:7" x14ac:dyDescent="0.2">
      <c r="A295" s="17">
        <f>tabela_produkty[[#This Row],[product_id]]</f>
        <v>48</v>
      </c>
      <c r="B295" s="20" t="str">
        <f>tabela_produkty[[#This Row],[product_name]]</f>
        <v>Organizer Set Desk</v>
      </c>
      <c r="C295" s="20" t="str">
        <f>tabela_produkty[[#This Row],[category_name]]</f>
        <v>Office Supplies</v>
      </c>
      <c r="D295" s="19">
        <f>tabela_produkty[[#This Row],[total_quantity]]</f>
        <v>0</v>
      </c>
      <c r="E295" s="21">
        <f>tabela_produkty[[#This Row],[total_revenue]]</f>
        <v>0</v>
      </c>
      <c r="F295" s="20" t="str">
        <f>tabela_produkty[[#This Row],[has_discount]]</f>
        <v>NIE</v>
      </c>
      <c r="G295" s="34" t="str" cm="1">
        <f t="array" ref="G295">_xlfn.IFS(E295=0,"Brak sprzedaży",E295&lt;=500,"Niski",E295&lt;=5000,"Średni",E295&gt;5000,"Wysoki")</f>
        <v>Brak sprzedaży</v>
      </c>
    </row>
  </sheetData>
  <mergeCells count="7">
    <mergeCell ref="A240:G240"/>
    <mergeCell ref="H193:I193"/>
    <mergeCell ref="A1:J1"/>
    <mergeCell ref="A188:F188"/>
    <mergeCell ref="H190:I190"/>
    <mergeCell ref="H191:I191"/>
    <mergeCell ref="H192:I19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BBE47-C51D-4F28-9A1C-39EAF4872F35}">
  <sheetPr>
    <tabColor theme="8" tint="-0.499984740745262"/>
  </sheetPr>
  <dimension ref="B1:W57"/>
  <sheetViews>
    <sheetView zoomScaleNormal="100" workbookViewId="0">
      <selection activeCell="H23" sqref="H23"/>
    </sheetView>
  </sheetViews>
  <sheetFormatPr defaultRowHeight="14.25" x14ac:dyDescent="0.2"/>
  <cols>
    <col min="1" max="1" width="9.140625" style="5"/>
    <col min="2" max="2" width="17.28515625" style="5" bestFit="1" customWidth="1"/>
    <col min="3" max="3" width="21.5703125" style="5" bestFit="1" customWidth="1"/>
    <col min="4" max="5" width="9.140625" style="5"/>
    <col min="6" max="6" width="17.28515625" style="5" bestFit="1" customWidth="1"/>
    <col min="7" max="7" width="21.5703125" style="5" bestFit="1" customWidth="1"/>
    <col min="8" max="9" width="9.140625" style="5"/>
    <col min="10" max="10" width="19.5703125" style="5" bestFit="1" customWidth="1"/>
    <col min="11" max="11" width="23.42578125" style="5" bestFit="1" customWidth="1"/>
    <col min="12" max="13" width="9.140625" style="5"/>
    <col min="14" max="14" width="31.85546875" style="5" bestFit="1" customWidth="1"/>
    <col min="15" max="15" width="23.42578125" style="5" bestFit="1" customWidth="1"/>
    <col min="16" max="17" width="9.140625" style="5"/>
    <col min="18" max="18" width="12.5703125" style="5" bestFit="1" customWidth="1"/>
    <col min="19" max="19" width="3.28515625" style="5" bestFit="1" customWidth="1"/>
    <col min="20" max="20" width="10.7109375" style="5" bestFit="1" customWidth="1"/>
    <col min="21" max="21" width="9.140625" style="5"/>
    <col min="22" max="22" width="20.42578125" style="5" customWidth="1"/>
    <col min="23" max="23" width="40.42578125" style="5" customWidth="1"/>
    <col min="24" max="16384" width="9.140625" style="5"/>
  </cols>
  <sheetData>
    <row r="1" spans="2:23" ht="18" x14ac:dyDescent="0.25">
      <c r="B1" s="67" t="s">
        <v>141</v>
      </c>
      <c r="C1" s="67"/>
      <c r="F1" s="67" t="s">
        <v>142</v>
      </c>
      <c r="G1" s="67"/>
      <c r="J1" s="67" t="s">
        <v>148</v>
      </c>
      <c r="K1" s="67"/>
      <c r="N1" s="67" t="s">
        <v>149</v>
      </c>
      <c r="O1" s="67"/>
      <c r="R1" s="65" t="s">
        <v>158</v>
      </c>
      <c r="S1" s="66"/>
      <c r="T1" s="66"/>
      <c r="V1" s="65" t="s">
        <v>160</v>
      </c>
      <c r="W1" s="66"/>
    </row>
    <row r="2" spans="2:23" x14ac:dyDescent="0.2">
      <c r="B2" s="35" t="s">
        <v>126</v>
      </c>
      <c r="C2" s="12" t="s">
        <v>140</v>
      </c>
      <c r="F2" s="35" t="s">
        <v>126</v>
      </c>
      <c r="G2" s="12" t="s">
        <v>140</v>
      </c>
      <c r="J2" s="35" t="s">
        <v>126</v>
      </c>
      <c r="K2" s="12" t="s">
        <v>147</v>
      </c>
      <c r="N2" s="35" t="s">
        <v>126</v>
      </c>
      <c r="O2" s="12" t="s">
        <v>147</v>
      </c>
      <c r="R2" s="36" t="s">
        <v>159</v>
      </c>
      <c r="S2" s="36">
        <v>2</v>
      </c>
      <c r="T2" s="36" t="str" cm="1">
        <f t="array" ref="T2">INDEX(R2:R20,S2)</f>
        <v>Poland</v>
      </c>
      <c r="V2" s="36" t="s">
        <v>161</v>
      </c>
      <c r="W2" s="36" t="s">
        <v>162</v>
      </c>
    </row>
    <row r="3" spans="2:23" ht="15" x14ac:dyDescent="0.25">
      <c r="B3" s="36" t="s">
        <v>127</v>
      </c>
      <c r="C3" s="37">
        <v>24341.769999999997</v>
      </c>
      <c r="F3" s="36" t="s">
        <v>25</v>
      </c>
      <c r="G3" s="37">
        <v>87934.319999999992</v>
      </c>
      <c r="J3" s="36" t="s">
        <v>143</v>
      </c>
      <c r="K3" s="37">
        <v>0</v>
      </c>
      <c r="N3" s="36" t="s">
        <v>52</v>
      </c>
      <c r="O3" s="37">
        <v>80634.149999999994</v>
      </c>
      <c r="R3" s="36" t="str" cm="1">
        <f t="array" ref="R3:R15">_xlfn.UNIQUE(tabela_zamowienia_rozszerzona[ship_country])</f>
        <v>Poland</v>
      </c>
      <c r="V3" s="14" t="str" cm="1">
        <f t="array" ref="V3:V14">_xlfn.UNIQUE(tabela_zamowienia_rozszerzona[order_month])</f>
        <v>2024-01</v>
      </c>
      <c r="W3" s="37">
        <f>IF($T$2="Wszystkie",SUMIFS(tabela_zamowienia_rozszerzona[order_value],tabela_zamowienia_rozszerzona[order_month],V3),SUMIFS(tabela_zamowienia_rozszerzona[order_value],tabela_zamowienia_rozszerzona[order_month],V3,tabela_zamowienia_rozszerzona[ship_country],$T$2))</f>
        <v>5320.4700000000012</v>
      </c>
    </row>
    <row r="4" spans="2:23" ht="15" x14ac:dyDescent="0.25">
      <c r="B4" s="36" t="s">
        <v>128</v>
      </c>
      <c r="C4" s="37">
        <v>25748.289999999997</v>
      </c>
      <c r="F4" s="36" t="s">
        <v>28</v>
      </c>
      <c r="G4" s="37">
        <v>61829.520000000011</v>
      </c>
      <c r="J4" s="36" t="s">
        <v>144</v>
      </c>
      <c r="K4" s="37">
        <v>33188.629999999997</v>
      </c>
      <c r="N4" s="36" t="s">
        <v>54</v>
      </c>
      <c r="O4" s="37">
        <v>41733.300000000003</v>
      </c>
      <c r="R4" s="36" t="str">
        <v>USA</v>
      </c>
      <c r="V4" s="14" t="str">
        <v>2024-02</v>
      </c>
      <c r="W4" s="37">
        <f>IF($T$2="Wszystkie",SUMIFS(tabela_zamowienia_rozszerzona[order_value],tabela_zamowienia_rozszerzona[order_month],V4),SUMIFS(tabela_zamowienia_rozszerzona[order_value],tabela_zamowienia_rozszerzona[order_month],V4,tabela_zamowienia_rozszerzona[ship_country],$T$2))</f>
        <v>1481.79</v>
      </c>
    </row>
    <row r="5" spans="2:23" ht="15" x14ac:dyDescent="0.25">
      <c r="B5" s="36" t="s">
        <v>129</v>
      </c>
      <c r="C5" s="37">
        <v>60024.43</v>
      </c>
      <c r="F5" s="36" t="s">
        <v>30</v>
      </c>
      <c r="G5" s="37">
        <v>48864.06</v>
      </c>
      <c r="J5" s="36" t="s">
        <v>145</v>
      </c>
      <c r="K5" s="37">
        <v>32614.97</v>
      </c>
      <c r="N5" s="36" t="s">
        <v>56</v>
      </c>
      <c r="O5" s="37">
        <v>40859.550000000003</v>
      </c>
      <c r="R5" s="36" t="str">
        <v>Spain</v>
      </c>
      <c r="V5" s="14" t="str">
        <v>2024-03</v>
      </c>
      <c r="W5" s="37">
        <f>IF($T$2="Wszystkie",SUMIFS(tabela_zamowienia_rozszerzona[order_value],tabela_zamowienia_rozszerzona[order_month],V5),SUMIFS(tabela_zamowienia_rozszerzona[order_value],tabela_zamowienia_rozszerzona[order_month],V5,tabela_zamowienia_rozszerzona[ship_country],$T$2))</f>
        <v>17827.599999999999</v>
      </c>
    </row>
    <row r="6" spans="2:23" ht="15" x14ac:dyDescent="0.25">
      <c r="B6" s="36" t="s">
        <v>130</v>
      </c>
      <c r="C6" s="37">
        <v>37481.879999999997</v>
      </c>
      <c r="F6" s="36" t="s">
        <v>29</v>
      </c>
      <c r="G6" s="37">
        <v>39240.259999999995</v>
      </c>
      <c r="J6" s="36" t="s">
        <v>146</v>
      </c>
      <c r="K6" s="37">
        <v>238175.72999999998</v>
      </c>
      <c r="N6" s="36" t="s">
        <v>57</v>
      </c>
      <c r="O6" s="37">
        <v>35052.980000000003</v>
      </c>
      <c r="R6" s="36" t="str">
        <v>UK</v>
      </c>
      <c r="V6" s="14" t="str">
        <v>2024-04</v>
      </c>
      <c r="W6" s="37">
        <f>IF($T$2="Wszystkie",SUMIFS(tabela_zamowienia_rozszerzona[order_value],tabela_zamowienia_rozszerzona[order_month],V6),SUMIFS(tabela_zamowienia_rozszerzona[order_value],tabela_zamowienia_rozszerzona[order_month],V6,tabela_zamowienia_rozszerzona[ship_country],$T$2))</f>
        <v>10679.64</v>
      </c>
    </row>
    <row r="7" spans="2:23" ht="15" x14ac:dyDescent="0.25">
      <c r="B7" s="36" t="s">
        <v>131</v>
      </c>
      <c r="C7" s="37">
        <v>43840.47</v>
      </c>
      <c r="F7" s="36" t="s">
        <v>31</v>
      </c>
      <c r="G7" s="37">
        <v>17975.890000000003</v>
      </c>
      <c r="J7" s="36" t="s">
        <v>139</v>
      </c>
      <c r="K7" s="37">
        <v>303979.32999999996</v>
      </c>
      <c r="N7" s="36" t="s">
        <v>58</v>
      </c>
      <c r="O7" s="37">
        <v>29675.360000000001</v>
      </c>
      <c r="R7" s="36" t="str">
        <v>Canada</v>
      </c>
      <c r="V7" s="14" t="str">
        <v>2024-05</v>
      </c>
      <c r="W7" s="37">
        <f>IF($T$2="Wszystkie",SUMIFS(tabela_zamowienia_rozszerzona[order_value],tabela_zamowienia_rozszerzona[order_month],V7),SUMIFS(tabela_zamowienia_rozszerzona[order_value],tabela_zamowienia_rozszerzona[order_month],V7,tabela_zamowienia_rozszerzona[ship_country],$T$2))</f>
        <v>19917.439999999999</v>
      </c>
    </row>
    <row r="8" spans="2:23" ht="15" x14ac:dyDescent="0.25">
      <c r="B8" s="36" t="s">
        <v>132</v>
      </c>
      <c r="C8" s="37">
        <v>20010.57</v>
      </c>
      <c r="F8" s="36" t="s">
        <v>32</v>
      </c>
      <c r="G8" s="37">
        <v>12542.609999999999</v>
      </c>
      <c r="N8" s="36" t="s">
        <v>59</v>
      </c>
      <c r="O8" s="37">
        <v>12827.95</v>
      </c>
      <c r="R8" s="36" t="str">
        <v>France</v>
      </c>
      <c r="V8" s="14" t="str">
        <v>2024-06</v>
      </c>
      <c r="W8" s="37">
        <f>IF($T$2="Wszystkie",SUMIFS(tabela_zamowienia_rozszerzona[order_value],tabela_zamowienia_rozszerzona[order_month],V8),SUMIFS(tabela_zamowienia_rozszerzona[order_value],tabela_zamowienia_rozszerzona[order_month],V8,tabela_zamowienia_rozszerzona[ship_country],$T$2))</f>
        <v>1831.77</v>
      </c>
    </row>
    <row r="9" spans="2:23" ht="15" x14ac:dyDescent="0.25">
      <c r="B9" s="36" t="s">
        <v>133</v>
      </c>
      <c r="C9" s="37">
        <v>14641.14</v>
      </c>
      <c r="F9" s="36" t="s">
        <v>39</v>
      </c>
      <c r="G9" s="37">
        <v>8421.8700000000008</v>
      </c>
      <c r="N9" s="36" t="s">
        <v>60</v>
      </c>
      <c r="O9" s="37">
        <v>6962.55</v>
      </c>
      <c r="R9" s="36" t="str">
        <v>South Korea</v>
      </c>
      <c r="V9" s="14" t="str">
        <v>2024-07</v>
      </c>
      <c r="W9" s="37">
        <f>IF($T$2="Wszystkie",SUMIFS(tabela_zamowienia_rozszerzona[order_value],tabela_zamowienia_rozszerzona[order_month],V9),SUMIFS(tabela_zamowienia_rozszerzona[order_value],tabela_zamowienia_rozszerzona[order_month],V9,tabela_zamowienia_rozszerzona[ship_country],$T$2))</f>
        <v>0</v>
      </c>
    </row>
    <row r="10" spans="2:23" ht="15" x14ac:dyDescent="0.25">
      <c r="B10" s="36" t="s">
        <v>134</v>
      </c>
      <c r="C10" s="37">
        <v>10382.33</v>
      </c>
      <c r="F10" s="36" t="s">
        <v>33</v>
      </c>
      <c r="G10" s="37">
        <v>8190.58</v>
      </c>
      <c r="N10" s="36" t="s">
        <v>61</v>
      </c>
      <c r="O10" s="37">
        <v>6338</v>
      </c>
      <c r="R10" s="36" t="str">
        <v>Portugal</v>
      </c>
      <c r="V10" s="14" t="str">
        <v>2024-08</v>
      </c>
      <c r="W10" s="37">
        <f>IF($T$2="Wszystkie",SUMIFS(tabela_zamowienia_rozszerzona[order_value],tabela_zamowienia_rozszerzona[order_month],V10),SUMIFS(tabela_zamowienia_rozszerzona[order_value],tabela_zamowienia_rozszerzona[order_month],V10,tabela_zamowienia_rozszerzona[ship_country],$T$2))</f>
        <v>895.1</v>
      </c>
    </row>
    <row r="11" spans="2:23" ht="15" x14ac:dyDescent="0.25">
      <c r="B11" s="36" t="s">
        <v>135</v>
      </c>
      <c r="C11" s="37">
        <v>14500.38</v>
      </c>
      <c r="F11" s="36" t="s">
        <v>36</v>
      </c>
      <c r="G11" s="37">
        <v>7365.25</v>
      </c>
      <c r="N11" s="36" t="s">
        <v>62</v>
      </c>
      <c r="O11" s="37">
        <v>5282.87</v>
      </c>
      <c r="R11" s="36" t="str">
        <v>Germany</v>
      </c>
      <c r="V11" s="14" t="str">
        <v>2024-09</v>
      </c>
      <c r="W11" s="37">
        <f>IF($T$2="Wszystkie",SUMIFS(tabela_zamowienia_rozszerzona[order_value],tabela_zamowienia_rozszerzona[order_month],V11),SUMIFS(tabela_zamowienia_rozszerzona[order_value],tabela_zamowienia_rozszerzona[order_month],V11,tabela_zamowienia_rozszerzona[ship_country],$T$2))</f>
        <v>9495.5500000000011</v>
      </c>
    </row>
    <row r="12" spans="2:23" ht="15" x14ac:dyDescent="0.25">
      <c r="B12" s="36" t="s">
        <v>136</v>
      </c>
      <c r="C12" s="37">
        <v>20338.05</v>
      </c>
      <c r="F12" s="36" t="s">
        <v>37</v>
      </c>
      <c r="G12" s="37">
        <v>5094.95</v>
      </c>
      <c r="N12" s="36" t="s">
        <v>63</v>
      </c>
      <c r="O12" s="37">
        <v>4459.75</v>
      </c>
      <c r="R12" s="36" t="str">
        <v>Italy</v>
      </c>
      <c r="V12" s="14" t="str">
        <v>2024-10</v>
      </c>
      <c r="W12" s="37">
        <f>IF($T$2="Wszystkie",SUMIFS(tabela_zamowienia_rozszerzona[order_value],tabela_zamowienia_rozszerzona[order_month],V12),SUMIFS(tabela_zamowienia_rozszerzona[order_value],tabela_zamowienia_rozszerzona[order_month],V12,tabela_zamowienia_rozszerzona[ship_country],$T$2))</f>
        <v>6677.8899999999994</v>
      </c>
    </row>
    <row r="13" spans="2:23" ht="15" x14ac:dyDescent="0.25">
      <c r="B13" s="36" t="s">
        <v>137</v>
      </c>
      <c r="C13" s="37">
        <v>8986.5199999999986</v>
      </c>
      <c r="F13" s="36" t="s">
        <v>34</v>
      </c>
      <c r="G13" s="37">
        <v>2962.88</v>
      </c>
      <c r="N13" s="36" t="s">
        <v>139</v>
      </c>
      <c r="O13" s="37">
        <v>263826.46000000002</v>
      </c>
      <c r="R13" s="36" t="str">
        <v>Sweden</v>
      </c>
      <c r="V13" s="14" t="str">
        <v>2024-11</v>
      </c>
      <c r="W13" s="37">
        <f>IF($T$2="Wszystkie",SUMIFS(tabela_zamowienia_rozszerzona[order_value],tabela_zamowienia_rozszerzona[order_month],V13),SUMIFS(tabela_zamowienia_rozszerzona[order_value],tabela_zamowienia_rozszerzona[order_month],V13,tabela_zamowienia_rozszerzona[ship_country],$T$2))</f>
        <v>0</v>
      </c>
    </row>
    <row r="14" spans="2:23" ht="15" x14ac:dyDescent="0.25">
      <c r="B14" s="36" t="s">
        <v>138</v>
      </c>
      <c r="C14" s="37">
        <v>23683.5</v>
      </c>
      <c r="F14" s="36" t="s">
        <v>35</v>
      </c>
      <c r="G14" s="37">
        <v>2335.29</v>
      </c>
      <c r="N14"/>
      <c r="O14"/>
      <c r="R14" s="44" t="str">
        <v>China</v>
      </c>
      <c r="V14" s="14" t="str">
        <v>2024-12</v>
      </c>
      <c r="W14" s="37">
        <f>IF($T$2="Wszystkie",SUMIFS(tabela_zamowienia_rozszerzona[order_value],tabela_zamowienia_rozszerzona[order_month],V14),SUMIFS(tabela_zamowienia_rozszerzona[order_value],tabela_zamowienia_rozszerzona[order_month],V14,tabela_zamowienia_rozszerzona[ship_country],$T$2))</f>
        <v>13807.07</v>
      </c>
    </row>
    <row r="15" spans="2:23" ht="15" x14ac:dyDescent="0.25">
      <c r="B15" s="36" t="s">
        <v>139</v>
      </c>
      <c r="C15" s="37">
        <v>303979.33</v>
      </c>
      <c r="F15" s="36" t="s">
        <v>38</v>
      </c>
      <c r="G15" s="37">
        <v>1221.8499999999999</v>
      </c>
      <c r="N15"/>
      <c r="O15"/>
      <c r="R15" s="45" t="str">
        <v>India</v>
      </c>
    </row>
    <row r="16" spans="2:23" ht="15" x14ac:dyDescent="0.25">
      <c r="F16" s="36" t="s">
        <v>139</v>
      </c>
      <c r="G16" s="37">
        <v>303979.32999999996</v>
      </c>
      <c r="N16"/>
      <c r="O16"/>
      <c r="R16" s="2"/>
    </row>
    <row r="17" spans="14:18" ht="15" x14ac:dyDescent="0.25">
      <c r="N17"/>
      <c r="O17"/>
      <c r="R17" s="2"/>
    </row>
    <row r="18" spans="14:18" ht="15" x14ac:dyDescent="0.25">
      <c r="N18"/>
      <c r="O18"/>
      <c r="R18" s="2"/>
    </row>
    <row r="19" spans="14:18" ht="15" x14ac:dyDescent="0.25">
      <c r="N19"/>
      <c r="O19"/>
    </row>
    <row r="20" spans="14:18" ht="15" x14ac:dyDescent="0.25">
      <c r="N20"/>
      <c r="O20"/>
    </row>
    <row r="21" spans="14:18" ht="15" x14ac:dyDescent="0.25">
      <c r="N21"/>
      <c r="O21"/>
    </row>
    <row r="22" spans="14:18" ht="15" x14ac:dyDescent="0.25">
      <c r="N22"/>
      <c r="O22"/>
    </row>
    <row r="23" spans="14:18" ht="15" x14ac:dyDescent="0.25">
      <c r="N23"/>
      <c r="O23"/>
    </row>
    <row r="24" spans="14:18" ht="15" x14ac:dyDescent="0.25">
      <c r="N24"/>
      <c r="O24"/>
    </row>
    <row r="25" spans="14:18" ht="15" x14ac:dyDescent="0.25">
      <c r="N25"/>
      <c r="O25"/>
    </row>
    <row r="26" spans="14:18" ht="15" x14ac:dyDescent="0.25">
      <c r="N26"/>
      <c r="O26"/>
    </row>
    <row r="27" spans="14:18" ht="15" x14ac:dyDescent="0.25">
      <c r="N27"/>
      <c r="O27"/>
    </row>
    <row r="28" spans="14:18" ht="15" x14ac:dyDescent="0.25">
      <c r="N28"/>
      <c r="O28"/>
    </row>
    <row r="29" spans="14:18" ht="15" x14ac:dyDescent="0.25">
      <c r="N29"/>
      <c r="O29"/>
    </row>
    <row r="30" spans="14:18" ht="15" x14ac:dyDescent="0.25">
      <c r="N30"/>
      <c r="O30"/>
    </row>
    <row r="31" spans="14:18" ht="15" x14ac:dyDescent="0.25">
      <c r="N31"/>
      <c r="O31"/>
    </row>
    <row r="32" spans="14:18" ht="15" x14ac:dyDescent="0.25">
      <c r="N32"/>
      <c r="O32"/>
    </row>
    <row r="33" spans="14:15" ht="15" x14ac:dyDescent="0.25">
      <c r="N33"/>
      <c r="O33"/>
    </row>
    <row r="34" spans="14:15" ht="15" x14ac:dyDescent="0.25">
      <c r="N34"/>
      <c r="O34"/>
    </row>
    <row r="35" spans="14:15" ht="15" x14ac:dyDescent="0.25">
      <c r="N35"/>
      <c r="O35"/>
    </row>
    <row r="36" spans="14:15" ht="15" x14ac:dyDescent="0.25">
      <c r="N36"/>
      <c r="O36"/>
    </row>
    <row r="37" spans="14:15" ht="15" x14ac:dyDescent="0.25">
      <c r="N37"/>
      <c r="O37"/>
    </row>
    <row r="38" spans="14:15" ht="15" x14ac:dyDescent="0.25">
      <c r="N38"/>
      <c r="O38"/>
    </row>
    <row r="39" spans="14:15" ht="15" x14ac:dyDescent="0.25">
      <c r="N39"/>
      <c r="O39"/>
    </row>
    <row r="40" spans="14:15" ht="15" x14ac:dyDescent="0.25">
      <c r="N40"/>
      <c r="O40"/>
    </row>
    <row r="41" spans="14:15" ht="15" x14ac:dyDescent="0.25">
      <c r="N41"/>
      <c r="O41"/>
    </row>
    <row r="42" spans="14:15" ht="15" x14ac:dyDescent="0.25">
      <c r="N42"/>
      <c r="O42"/>
    </row>
    <row r="43" spans="14:15" ht="15" x14ac:dyDescent="0.25">
      <c r="N43"/>
      <c r="O43"/>
    </row>
    <row r="44" spans="14:15" ht="15" x14ac:dyDescent="0.25">
      <c r="N44"/>
      <c r="O44"/>
    </row>
    <row r="45" spans="14:15" ht="15" x14ac:dyDescent="0.25">
      <c r="N45"/>
      <c r="O45"/>
    </row>
    <row r="46" spans="14:15" ht="15" x14ac:dyDescent="0.25">
      <c r="N46"/>
      <c r="O46"/>
    </row>
    <row r="47" spans="14:15" ht="15" x14ac:dyDescent="0.25">
      <c r="N47"/>
      <c r="O47"/>
    </row>
    <row r="48" spans="14:15" ht="15" x14ac:dyDescent="0.25">
      <c r="N48"/>
      <c r="O48"/>
    </row>
    <row r="49" spans="14:15" ht="15" x14ac:dyDescent="0.25">
      <c r="N49"/>
      <c r="O49"/>
    </row>
    <row r="50" spans="14:15" ht="15" x14ac:dyDescent="0.25">
      <c r="N50"/>
      <c r="O50"/>
    </row>
    <row r="51" spans="14:15" ht="15" x14ac:dyDescent="0.25">
      <c r="N51"/>
      <c r="O51"/>
    </row>
    <row r="52" spans="14:15" ht="15" x14ac:dyDescent="0.25">
      <c r="N52"/>
      <c r="O52"/>
    </row>
    <row r="53" spans="14:15" ht="15" x14ac:dyDescent="0.25">
      <c r="N53"/>
      <c r="O53"/>
    </row>
    <row r="54" spans="14:15" ht="15" x14ac:dyDescent="0.25">
      <c r="N54"/>
      <c r="O54"/>
    </row>
    <row r="55" spans="14:15" ht="15" x14ac:dyDescent="0.25">
      <c r="N55"/>
      <c r="O55"/>
    </row>
    <row r="56" spans="14:15" ht="15" x14ac:dyDescent="0.25">
      <c r="N56"/>
      <c r="O56"/>
    </row>
    <row r="57" spans="14:15" ht="15" x14ac:dyDescent="0.25">
      <c r="N57"/>
      <c r="O57"/>
    </row>
  </sheetData>
  <mergeCells count="6">
    <mergeCell ref="V1:W1"/>
    <mergeCell ref="B1:C1"/>
    <mergeCell ref="F1:G1"/>
    <mergeCell ref="J1:K1"/>
    <mergeCell ref="N1:O1"/>
    <mergeCell ref="R1:T1"/>
  </mergeCells>
  <phoneticPr fontId="10" type="noConversion"/>
  <pageMargins left="0.7" right="0.7" top="0.75" bottom="0.75" header="0.3" footer="0.3"/>
  <pageSetup paperSize="9"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886B-89BC-4E3D-A5C4-11F1F989899B}">
  <sheetPr>
    <tabColor theme="4" tint="-0.249977111117893"/>
  </sheetPr>
  <dimension ref="B1:AQ53"/>
  <sheetViews>
    <sheetView showGridLines="0" showRowColHeaders="0" zoomScale="70" zoomScaleNormal="70" workbookViewId="0">
      <selection activeCell="AS17" sqref="AS17"/>
    </sheetView>
  </sheetViews>
  <sheetFormatPr defaultColWidth="3.7109375" defaultRowHeight="15" x14ac:dyDescent="0.25"/>
  <cols>
    <col min="1" max="31" width="3.7109375" style="38"/>
    <col min="32" max="32" width="3.7109375" style="38" customWidth="1"/>
    <col min="33" max="16384" width="3.7109375" style="38"/>
  </cols>
  <sheetData>
    <row r="1" spans="2:43" ht="15" customHeight="1" x14ac:dyDescent="0.25"/>
    <row r="2" spans="2:43" ht="15" customHeight="1" x14ac:dyDescent="0.25">
      <c r="B2" s="46" t="s">
        <v>152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</row>
    <row r="3" spans="2:43" ht="15" customHeight="1" x14ac:dyDescent="0.25"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</row>
    <row r="4" spans="2:43" ht="15" customHeight="1" x14ac:dyDescent="0.25">
      <c r="B4" s="46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</row>
    <row r="5" spans="2:43" ht="15" customHeight="1" x14ac:dyDescent="0.25"/>
    <row r="6" spans="2:43" x14ac:dyDescent="0.25">
      <c r="B6" s="48" t="s">
        <v>153</v>
      </c>
      <c r="C6" s="48"/>
      <c r="D6" s="48"/>
      <c r="E6" s="48"/>
      <c r="F6" s="48"/>
      <c r="G6" s="48"/>
      <c r="H6" s="48"/>
      <c r="I6" s="48"/>
      <c r="J6" s="48"/>
      <c r="M6" s="48" t="s">
        <v>155</v>
      </c>
      <c r="N6" s="48"/>
      <c r="O6" s="48"/>
      <c r="P6" s="48"/>
      <c r="Q6" s="48"/>
      <c r="R6" s="48"/>
      <c r="S6" s="48"/>
      <c r="T6" s="48"/>
      <c r="U6" s="48"/>
      <c r="X6" s="48" t="s">
        <v>156</v>
      </c>
      <c r="Y6" s="48"/>
      <c r="Z6" s="48"/>
      <c r="AA6" s="48"/>
      <c r="AB6" s="48"/>
      <c r="AC6" s="48"/>
      <c r="AD6" s="48"/>
      <c r="AE6" s="48"/>
      <c r="AF6" s="48"/>
      <c r="AI6" s="48" t="s">
        <v>157</v>
      </c>
      <c r="AJ6" s="48"/>
      <c r="AK6" s="48"/>
      <c r="AL6" s="48"/>
      <c r="AM6" s="48"/>
      <c r="AN6" s="48"/>
      <c r="AO6" s="48"/>
      <c r="AP6" s="48"/>
      <c r="AQ6" s="48"/>
    </row>
    <row r="7" spans="2:43" x14ac:dyDescent="0.25">
      <c r="B7" s="48"/>
      <c r="C7" s="48"/>
      <c r="D7" s="48"/>
      <c r="E7" s="48"/>
      <c r="F7" s="48"/>
      <c r="G7" s="48"/>
      <c r="H7" s="48"/>
      <c r="I7" s="48"/>
      <c r="J7" s="48"/>
      <c r="M7" s="48"/>
      <c r="N7" s="48"/>
      <c r="O7" s="48"/>
      <c r="P7" s="48"/>
      <c r="Q7" s="48"/>
      <c r="R7" s="48"/>
      <c r="S7" s="48"/>
      <c r="T7" s="48"/>
      <c r="U7" s="48"/>
      <c r="X7" s="48"/>
      <c r="Y7" s="48"/>
      <c r="Z7" s="48"/>
      <c r="AA7" s="48"/>
      <c r="AB7" s="48"/>
      <c r="AC7" s="48"/>
      <c r="AD7" s="48"/>
      <c r="AE7" s="48"/>
      <c r="AF7" s="48"/>
      <c r="AI7" s="48"/>
      <c r="AJ7" s="48"/>
      <c r="AK7" s="48"/>
      <c r="AL7" s="48"/>
      <c r="AM7" s="48"/>
      <c r="AN7" s="48"/>
      <c r="AO7" s="48"/>
      <c r="AP7" s="48"/>
      <c r="AQ7" s="48"/>
    </row>
    <row r="8" spans="2:43" ht="15" customHeight="1" x14ac:dyDescent="0.25">
      <c r="B8" s="49">
        <f>SUM(tabela_zamowienia_rozszerzona[order_value])</f>
        <v>303979.33000000013</v>
      </c>
      <c r="C8" s="49"/>
      <c r="D8" s="49"/>
      <c r="E8" s="49"/>
      <c r="F8" s="49"/>
      <c r="G8" s="49"/>
      <c r="H8" s="49"/>
      <c r="I8" s="49"/>
      <c r="J8" s="49"/>
      <c r="M8" s="49">
        <f>COUNT(tabela_zamowienia_rozszerzona[order_id])</f>
        <v>184</v>
      </c>
      <c r="N8" s="49"/>
      <c r="O8" s="49"/>
      <c r="P8" s="49"/>
      <c r="Q8" s="49"/>
      <c r="R8" s="49"/>
      <c r="S8" s="49"/>
      <c r="T8" s="49"/>
      <c r="U8" s="49"/>
      <c r="X8" s="49">
        <f>COUNT(tabela_klienci_rozszerzona[customer_id])</f>
        <v>49</v>
      </c>
      <c r="Y8" s="49"/>
      <c r="Z8" s="49"/>
      <c r="AA8" s="49"/>
      <c r="AB8" s="49"/>
      <c r="AC8" s="49"/>
      <c r="AD8" s="49"/>
      <c r="AE8" s="49"/>
      <c r="AF8" s="49"/>
      <c r="AI8" s="49">
        <f>AVERAGE(tabela_zamowienia_rozszerzona[order_value])</f>
        <v>1652.0615760869573</v>
      </c>
      <c r="AJ8" s="49"/>
      <c r="AK8" s="49"/>
      <c r="AL8" s="49"/>
      <c r="AM8" s="49"/>
      <c r="AN8" s="49"/>
      <c r="AO8" s="49"/>
      <c r="AP8" s="49"/>
      <c r="AQ8" s="49"/>
    </row>
    <row r="9" spans="2:43" ht="15" customHeight="1" x14ac:dyDescent="0.25">
      <c r="B9" s="49"/>
      <c r="C9" s="49"/>
      <c r="D9" s="49"/>
      <c r="E9" s="49"/>
      <c r="F9" s="49"/>
      <c r="G9" s="49"/>
      <c r="H9" s="49"/>
      <c r="I9" s="49"/>
      <c r="J9" s="49"/>
      <c r="M9" s="49"/>
      <c r="N9" s="49"/>
      <c r="O9" s="49"/>
      <c r="P9" s="49"/>
      <c r="Q9" s="49"/>
      <c r="R9" s="49"/>
      <c r="S9" s="49"/>
      <c r="T9" s="49"/>
      <c r="U9" s="49"/>
      <c r="X9" s="49"/>
      <c r="Y9" s="49"/>
      <c r="Z9" s="49"/>
      <c r="AA9" s="49"/>
      <c r="AB9" s="49"/>
      <c r="AC9" s="49"/>
      <c r="AD9" s="49"/>
      <c r="AE9" s="49"/>
      <c r="AF9" s="49"/>
      <c r="AI9" s="49"/>
      <c r="AJ9" s="49"/>
      <c r="AK9" s="49"/>
      <c r="AL9" s="49"/>
      <c r="AM9" s="49"/>
      <c r="AN9" s="49"/>
      <c r="AO9" s="49"/>
      <c r="AP9" s="49"/>
      <c r="AQ9" s="49"/>
    </row>
    <row r="10" spans="2:43" ht="15" customHeight="1" x14ac:dyDescent="0.25"/>
    <row r="12" spans="2:43" ht="15" customHeight="1" x14ac:dyDescent="0.25"/>
    <row r="13" spans="2:43" ht="15" customHeight="1" x14ac:dyDescent="0.25"/>
    <row r="14" spans="2:43" ht="15" customHeight="1" x14ac:dyDescent="0.25"/>
    <row r="15" spans="2:43" ht="15" customHeight="1" x14ac:dyDescent="0.25"/>
    <row r="16" spans="2:43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</sheetData>
  <mergeCells count="9">
    <mergeCell ref="B2:AQ4"/>
    <mergeCell ref="AI6:AQ7"/>
    <mergeCell ref="AI8:AQ9"/>
    <mergeCell ref="X6:AF7"/>
    <mergeCell ref="X8:AF9"/>
    <mergeCell ref="M6:U7"/>
    <mergeCell ref="M8:U9"/>
    <mergeCell ref="B6:J7"/>
    <mergeCell ref="B8:J9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5" r:id="rId3" name="Drop Down 5">
              <controlPr defaultSize="0" autoLine="0" autoPict="0">
                <anchor moveWithCells="1">
                  <from>
                    <xdr:col>18</xdr:col>
                    <xdr:colOff>123825</xdr:colOff>
                    <xdr:row>10</xdr:row>
                    <xdr:rowOff>123825</xdr:rowOff>
                  </from>
                  <to>
                    <xdr:col>21</xdr:col>
                    <xdr:colOff>171450</xdr:colOff>
                    <xdr:row>11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26FBA5-CA2C-4F76-8921-9A67BE9767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00_INFO</vt:lpstr>
      <vt:lpstr>01_DANE</vt:lpstr>
      <vt:lpstr>02_OBLICZENIA</vt:lpstr>
      <vt:lpstr>03_TABELE</vt:lpstr>
      <vt:lpstr>04_DASHBOARD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Sabina Brakoniecka</dc:creator>
  <cp:lastModifiedBy>Sabina Brakoniecka</cp:lastModifiedBy>
  <cp:lastPrinted>2026-04-21T11:03:31Z</cp:lastPrinted>
  <dcterms:created xsi:type="dcterms:W3CDTF">2026-04-07T09:11:42Z</dcterms:created>
  <dcterms:modified xsi:type="dcterms:W3CDTF">2026-04-21T13:30:03Z</dcterms:modified>
</cp:coreProperties>
</file>